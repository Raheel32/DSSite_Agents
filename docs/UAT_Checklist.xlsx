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UAT Checklist" sheetId="2" state="visible" r:id="rId4"/>
    <sheet name="Summary" sheetId="3" state="visible" r:id="rId5"/>
    <sheet name="Test Data" sheetId="4" state="visible" r:id="rId6"/>
  </sheets>
  <definedNames>
    <definedName function="false" hidden="true" localSheetId="1" name="_xlnm._FilterDatabase" vbProcedure="false">'UAT Checklist'!$A$4:$I$107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<sst xmlns="http://schemas.openxmlformats.org/spreadsheetml/2006/main" count="841" uniqueCount="526">
  <si>
    <t xml:space="preserve">User Acceptance Testing (UAT) - AI-Powered E-Commerce Platform</t>
  </si>
  <si>
    <t xml:space="preserve">Purpose</t>
  </si>
  <si>
    <t xml:space="preserve">Check that the base shop (cart, checkout, payments, admin) and the five AI agents work correctly BEFORE final submission. Every test is a small task with a clear expected result.</t>
  </si>
  <si>
    <t xml:space="preserve">Live shop</t>
  </si>
  <si>
    <t xml:space="preserve">https://testv3.websitedemolynk.com/discountv2/</t>
  </si>
  <si>
    <t xml:space="preserve">Agent service</t>
  </si>
  <si>
    <t xml:space="preserve">https://ai-agents-service-tdhq.onrender.com</t>
  </si>
  <si>
    <t xml:space="preserve">How to use</t>
  </si>
  <si>
    <t xml:space="preserve">1) Work through the 'UAT Checklist' sheet from top to bottom.  2) Do the Steps, compare with the Expected result.  3) Choose a Status.  4) Write what actually happened.  5) Fix any Fail, then run that test again.  6) Watch the 'Summary' sheet for progress.</t>
  </si>
  <si>
    <t xml:space="preserve">Cells you fill in</t>
  </si>
  <si>
    <t xml:space="preserve">Only the yellow cells on the 'UAT Checklist' sheet: Status (column G, dropdown), Actual result / notes (column H) and Tested on (column I). Everything else is fixed.</t>
  </si>
  <si>
    <t xml:space="preserve">Example of a filled row</t>
  </si>
  <si>
    <t xml:space="preserve">Status = Pass   |   Actual result = 'Cart total showed Rs 25,100 after setting DALDA quantity to 8'   |   Tested on = 2026-10-15</t>
  </si>
  <si>
    <t xml:space="preserve">Status meanings</t>
  </si>
  <si>
    <t xml:space="preserve">Not run = not tested yet.  Pass = result matched.  Fail = result did not match (describe it).  Blocked = could not test (e.g. missing key or access).</t>
  </si>
  <si>
    <t xml:space="preserve">Priority meanings</t>
  </si>
  <si>
    <t xml:space="preserve">High = must pass before submission.  Medium = should pass.  Low = nice to have.</t>
  </si>
  <si>
    <t xml:space="preserve">Exit criteria</t>
  </si>
  <si>
    <t xml:space="preserve">Ready for submission when every High priority test is Pass. The Summary sheet shows this automatically.</t>
  </si>
  <si>
    <t xml:space="preserve">Test safely</t>
  </si>
  <si>
    <t xml:space="preserve">Use test customers and test products. Use example email addresses you control. Never share API keys, screenshots showing keys, or real customer data.</t>
  </si>
  <si>
    <t xml:space="preserve">Known gap to fix</t>
  </si>
  <si>
    <t xml:space="preserve">GET /fraud/flagged, GET /fraud/history and POST /fraud/check do not require a key yet (test SEC-06). Add key protection before the final submission.</t>
  </si>
  <si>
    <t xml:space="preserve">Rules being tested</t>
  </si>
  <si>
    <t xml:space="preserve">Fraud (Agent 4)</t>
  </si>
  <si>
    <t xml:space="preserve">Order is Flagged at 50 risk points or more. COD above Rs 20,000 adds 25. 3 or more orders in 10 minutes from one email adds 30. Source: settings at the top of app/agents/fraud_agent.py.</t>
  </si>
  <si>
    <t xml:space="preserve">Refund (Agent 1)</t>
  </si>
  <si>
    <t xml:space="preserve">Auto-approve: not yet delivered + COD, or delivered within 24 hours and Rs 5,000 or less. Admin decides: bigger amounts, 24 hours to 7 days, unclear messages. Auto-reject: more than 7 days. 'Delivered' means the WooCommerce status Completed. Source: app/agents/refund_agent.py.</t>
  </si>
  <si>
    <t xml:space="preserve">Search (Agent 2)</t>
  </si>
  <si>
    <t xml:space="preserve">Budget words (under, below, above, 3k) are applied per product. Up to 20 smart searches per minute per visitor. Results are kept for 10 minutes. Source: app/agents/discovery_agent.py and the search snippet.</t>
  </si>
  <si>
    <t xml:space="preserve">Onboarding (Agent 5)</t>
  </si>
  <si>
    <t xml:space="preserve">Description 60 to 250 words, SEO title up to 60 characters, meta description 110 to 160, 3 to 10 tags, up to 3 attempts. Source: app/agents/onboarding_agent.py.</t>
  </si>
  <si>
    <t xml:space="preserve">Pricing (Agent 3)</t>
  </si>
  <si>
    <t xml:space="preserve">At least 2 stores needed, up to 3 search rounds, within 5% of the median = keep, at most 15% change, rounded to Rs 5. Source: app/agents/pricing_agent.py.</t>
  </si>
  <si>
    <t xml:space="preserve">UAT Checklist</t>
  </si>
  <si>
    <t xml:space="preserve">Fill the yellow columns (Status, Actual result / notes, Tested on). Example: Pass | Cart total showed Rs 25,100 | 2026-10-15</t>
  </si>
  <si>
    <t xml:space="preserve">ID</t>
  </si>
  <si>
    <t xml:space="preserve">Area</t>
  </si>
  <si>
    <t xml:space="preserve">Test case</t>
  </si>
  <si>
    <t xml:space="preserve">Steps</t>
  </si>
  <si>
    <t xml:space="preserve">Expected result</t>
  </si>
  <si>
    <t xml:space="preserve">Priority</t>
  </si>
  <si>
    <t xml:space="preserve">Status</t>
  </si>
  <si>
    <t xml:space="preserve">Actual result / notes</t>
  </si>
  <si>
    <t xml:space="preserve">Tested on</t>
  </si>
  <si>
    <t xml:space="preserve">CART-01</t>
  </si>
  <si>
    <t xml:space="preserve">Cart</t>
  </si>
  <si>
    <t xml:space="preserve">Add a simple product to the cart</t>
  </si>
  <si>
    <t xml:space="preserve">Open the shop. Click Add to cart on BESAN 500gm.</t>
  </si>
  <si>
    <t xml:space="preserve">Cart icon shows 1 item. Cart total is Rs 100.</t>
  </si>
  <si>
    <t xml:space="preserve">High</t>
  </si>
  <si>
    <t xml:space="preserve">Not run</t>
  </si>
  <si>
    <t xml:space="preserve">CART-02</t>
  </si>
  <si>
    <t xml:space="preserve">Add a pack-size (variable) product</t>
  </si>
  <si>
    <t xml:space="preserve">Open DALDA BANASPATI GHEE. Choose the 5 kg Pouch Carton pack and add it to the cart.</t>
  </si>
  <si>
    <t xml:space="preserve">Cart shows the chosen pack size and Rs 3,125 per unit.</t>
  </si>
  <si>
    <t xml:space="preserve">CART-03</t>
  </si>
  <si>
    <t xml:space="preserve">Change the quantity</t>
  </si>
  <si>
    <t xml:space="preserve">In the cart, set the DALDA quantity to 8.</t>
  </si>
  <si>
    <t xml:space="preserve">Line total is Rs 25,000 and the cart total updates (Rs 25,100 with 1 BESAN).</t>
  </si>
  <si>
    <t xml:space="preserve">CART-04</t>
  </si>
  <si>
    <t xml:space="preserve">Remove an item</t>
  </si>
  <si>
    <t xml:space="preserve">Click the bin icon next to one item.</t>
  </si>
  <si>
    <t xml:space="preserve">The item disappears and totals are recalculated.</t>
  </si>
  <si>
    <t xml:space="preserve">Medium</t>
  </si>
  <si>
    <t xml:space="preserve">CART-05</t>
  </si>
  <si>
    <t xml:space="preserve">Empty cart</t>
  </si>
  <si>
    <t xml:space="preserve">Remove every item from the cart.</t>
  </si>
  <si>
    <t xml:space="preserve">An empty-cart message appears and the cart icon shows Rs 0.</t>
  </si>
  <si>
    <t xml:space="preserve">CART-06</t>
  </si>
  <si>
    <t xml:space="preserve">Cart survives a page refresh</t>
  </si>
  <si>
    <t xml:space="preserve">Add an item, then refresh the page and open another page.</t>
  </si>
  <si>
    <t xml:space="preserve">The item is still in the cart.</t>
  </si>
  <si>
    <t xml:space="preserve">CART-07</t>
  </si>
  <si>
    <t xml:space="preserve">Coupon codes</t>
  </si>
  <si>
    <t xml:space="preserve">Create a test coupon in WooCommerce &gt; Marketing &gt; Coupons. Apply it in the cart, then try a wrong code.</t>
  </si>
  <si>
    <t xml:space="preserve">The valid coupon reduces the total. The wrong code shows a clear error.</t>
  </si>
  <si>
    <t xml:space="preserve">Low</t>
  </si>
  <si>
    <t xml:space="preserve">CART-08</t>
  </si>
  <si>
    <t xml:space="preserve">Out-of-stock product cannot be bought</t>
  </si>
  <si>
    <t xml:space="preserve">Set a product to Out of stock in the admin. Open it in the shop.</t>
  </si>
  <si>
    <t xml:space="preserve">Add to cart is disabled or says Out of stock.</t>
  </si>
  <si>
    <t xml:space="preserve">CART-09</t>
  </si>
  <si>
    <t xml:space="preserve">Cart is usable on a phone</t>
  </si>
  <si>
    <t xml:space="preserve">Open the cart at phone width (browser dev tools or a real phone).</t>
  </si>
  <si>
    <t xml:space="preserve">Layout is readable, buttons are tappable, nothing overlaps.</t>
  </si>
  <si>
    <t xml:space="preserve">CHK-01</t>
  </si>
  <si>
    <t xml:space="preserve">Checkout</t>
  </si>
  <si>
    <t xml:space="preserve">Guest checkout with Cash on Delivery</t>
  </si>
  <si>
    <t xml:space="preserve">Add a product, go to checkout, fill every field, choose Cash on delivery, click Place Order.</t>
  </si>
  <si>
    <t xml:space="preserve">Thank-you page shows the order number, total and payment method Cash on delivery.</t>
  </si>
  <si>
    <t xml:space="preserve">CHK-02</t>
  </si>
  <si>
    <t xml:space="preserve">Required fields are checked</t>
  </si>
  <si>
    <t xml:space="preserve">On checkout, leave the email empty and click Place Order.</t>
  </si>
  <si>
    <t xml:space="preserve">A clear error is shown and no order is created.</t>
  </si>
  <si>
    <t xml:space="preserve">CHK-03</t>
  </si>
  <si>
    <t xml:space="preserve">Order summary matches the cart</t>
  </si>
  <si>
    <t xml:space="preserve">Compare the checkout Order summary with the cart.</t>
  </si>
  <si>
    <t xml:space="preserve">Items, quantities and total are identical.</t>
  </si>
  <si>
    <t xml:space="preserve">CHK-04</t>
  </si>
  <si>
    <t xml:space="preserve">Order appears in the admin</t>
  </si>
  <si>
    <t xml:space="preserve">Open WooCommerce &gt; Orders after placing an order.</t>
  </si>
  <si>
    <t xml:space="preserve">The order is listed with the right customer, items, total and status Processing.</t>
  </si>
  <si>
    <t xml:space="preserve">CHK-05</t>
  </si>
  <si>
    <t xml:space="preserve">Customer note is saved</t>
  </si>
  <si>
    <t xml:space="preserve">Type a note in Add a note to your order and place the order.</t>
  </si>
  <si>
    <t xml:space="preserve">The note appears on the order (Customer provided note).</t>
  </si>
  <si>
    <t xml:space="preserve">CHK-06</t>
  </si>
  <si>
    <t xml:space="preserve">Order emails are sent</t>
  </si>
  <si>
    <t xml:space="preserve">Place an order, then check the order notes and the inbox.</t>
  </si>
  <si>
    <t xml:space="preserve">Order notes show 'New order' and 'Processing order' emails sent, and the emails arrive.</t>
  </si>
  <si>
    <t xml:space="preserve">CHK-07</t>
  </si>
  <si>
    <t xml:space="preserve">Logged-in customer checkout</t>
  </si>
  <si>
    <t xml:space="preserve">Log in as a customer, place an order, open My Account &gt; Orders.</t>
  </si>
  <si>
    <t xml:space="preserve">The order is linked to the account and listed there.</t>
  </si>
  <si>
    <t xml:space="preserve">CHK-08</t>
  </si>
  <si>
    <t xml:space="preserve">No duplicate order on double click</t>
  </si>
  <si>
    <t xml:space="preserve">Click Place Order twice quickly.</t>
  </si>
  <si>
    <t xml:space="preserve">Only one order is created.</t>
  </si>
  <si>
    <t xml:space="preserve">CHK-09</t>
  </si>
  <si>
    <t xml:space="preserve">Currency displays correctly</t>
  </si>
  <si>
    <t xml:space="preserve">Check prices in the shop, cart and checkout (PKR / Rs).</t>
  </si>
  <si>
    <t xml:space="preserve">Prices use Rs everywhere and totals are consistent. Switching currency (if enabled) does not break the total.</t>
  </si>
  <si>
    <t xml:space="preserve">PAY-01</t>
  </si>
  <si>
    <t xml:space="preserve">Payments</t>
  </si>
  <si>
    <t xml:space="preserve">Only the required payment methods are shown</t>
  </si>
  <si>
    <t xml:space="preserve">Open checkout and look at Payment options.</t>
  </si>
  <si>
    <t xml:space="preserve">Only Cash on delivery and Direct bank transfer are offered. No card, Stripe or PayPal.</t>
  </si>
  <si>
    <t xml:space="preserve">PAY-02</t>
  </si>
  <si>
    <t xml:space="preserve">Cash on Delivery flow</t>
  </si>
  <si>
    <t xml:space="preserve">Place an order with Cash on delivery.</t>
  </si>
  <si>
    <t xml:space="preserve">Order is created as Processing and shows 'Pay with cash upon delivery'.</t>
  </si>
  <si>
    <t xml:space="preserve">PAY-03</t>
  </si>
  <si>
    <t xml:space="preserve">Bank transfer flow</t>
  </si>
  <si>
    <t xml:space="preserve">Place an order with Direct bank transfer.</t>
  </si>
  <si>
    <t xml:space="preserve">Thank-you page shows the bank account details. Order status is On hold.</t>
  </si>
  <si>
    <t xml:space="preserve">PAY-04</t>
  </si>
  <si>
    <t xml:space="preserve">Bank details are correct</t>
  </si>
  <si>
    <t xml:space="preserve">Compare the account name and number on the thank-you page and in the order email with your real account.</t>
  </si>
  <si>
    <t xml:space="preserve">Details are exactly correct.</t>
  </si>
  <si>
    <t xml:space="preserve">PAY-05</t>
  </si>
  <si>
    <t xml:space="preserve">Mark a bank-transfer order as paid</t>
  </si>
  <si>
    <t xml:space="preserve">After payment arrives, change the order from On hold to Processing and update.</t>
  </si>
  <si>
    <t xml:space="preserve">Status and order note are saved.</t>
  </si>
  <si>
    <t xml:space="preserve">PAY-06</t>
  </si>
  <si>
    <t xml:space="preserve">Online gateways are removed</t>
  </si>
  <si>
    <t xml:space="preserve">Open WooCommerce &gt; Settings &gt; Payments.</t>
  </si>
  <si>
    <t xml:space="preserve">Stripe, PayPal and other card gateways are disabled or removed.</t>
  </si>
  <si>
    <t xml:space="preserve">ADM-01</t>
  </si>
  <si>
    <t xml:space="preserve">Admin</t>
  </si>
  <si>
    <t xml:space="preserve">Add a product</t>
  </si>
  <si>
    <t xml:space="preserve">Products &gt; Add New. Fill name, price, image, category. Publish.</t>
  </si>
  <si>
    <t xml:space="preserve">The product appears in the shop with the right price and image.</t>
  </si>
  <si>
    <t xml:space="preserve">ADM-02</t>
  </si>
  <si>
    <t xml:space="preserve">Edit a product price</t>
  </si>
  <si>
    <t xml:space="preserve">Change the price of a product and update.</t>
  </si>
  <si>
    <t xml:space="preserve">The shop and cart show the new price.</t>
  </si>
  <si>
    <t xml:space="preserve">ADM-03</t>
  </si>
  <si>
    <t xml:space="preserve">Change an order status</t>
  </si>
  <si>
    <t xml:space="preserve">Open an order, change Processing to Completed, update.</t>
  </si>
  <si>
    <t xml:space="preserve">Status saves, an order note is added and the customer email is sent.</t>
  </si>
  <si>
    <t xml:space="preserve">ADM-04</t>
  </si>
  <si>
    <t xml:space="preserve">Manage customers and users</t>
  </si>
  <si>
    <t xml:space="preserve">Open WooCommerce &gt; Customers and Users.</t>
  </si>
  <si>
    <t xml:space="preserve">Customers are listed. A user's details or role can be edited.</t>
  </si>
  <si>
    <t xml:space="preserve">ADM-05</t>
  </si>
  <si>
    <t xml:space="preserve">Role access</t>
  </si>
  <si>
    <t xml:space="preserve">Log in as a Shop manager (not admin). Open the AI Agents pages.</t>
  </si>
  <si>
    <t xml:space="preserve">Product-related AI pages work. Plugin and theme settings are not available.</t>
  </si>
  <si>
    <t xml:space="preserve">ADM-06</t>
  </si>
  <si>
    <t xml:space="preserve">AI Agents dashboard loads</t>
  </si>
  <si>
    <t xml:space="preserve">Open WooCommerce &gt; AI Agents.</t>
  </si>
  <si>
    <t xml:space="preserve">Three tables appear (waiting refunds, recent requests, flagged orders) with no error message.</t>
  </si>
  <si>
    <t xml:space="preserve">ADM-07</t>
  </si>
  <si>
    <t xml:space="preserve">Trash a product</t>
  </si>
  <si>
    <t xml:space="preserve">Move a product to the trash.</t>
  </si>
  <si>
    <t xml:space="preserve">It disappears from the shop and from search results.</t>
  </si>
  <si>
    <t xml:space="preserve">ADM-08</t>
  </si>
  <si>
    <t xml:space="preserve">Order search and filters</t>
  </si>
  <si>
    <t xml:space="preserve">Search orders by number and by email in WooCommerce &gt; Orders.</t>
  </si>
  <si>
    <t xml:space="preserve">The right orders are found.</t>
  </si>
  <si>
    <t xml:space="preserve">ADM-09</t>
  </si>
  <si>
    <t xml:space="preserve">Admin pages need a login</t>
  </si>
  <si>
    <t xml:space="preserve">Log out. Open the WooCommerce &gt; AI Agents address directly.</t>
  </si>
  <si>
    <t xml:space="preserve">You are sent to the login page.</t>
  </si>
  <si>
    <t xml:space="preserve">FRD-01</t>
  </si>
  <si>
    <t xml:space="preserve">Agent 4 Fraud</t>
  </si>
  <si>
    <t xml:space="preserve">Normal order is Safe</t>
  </si>
  <si>
    <t xml:space="preserve">Place a Cash on Delivery order of about Rs 3,000 with a normal customer.</t>
  </si>
  <si>
    <t xml:space="preserve">Order note: 'Fraud agent: Safe (score 0)'.</t>
  </si>
  <si>
    <t xml:space="preserve">FRD-02</t>
  </si>
  <si>
    <t xml:space="preserve">High-value COD adds risk points</t>
  </si>
  <si>
    <t xml:space="preserve">Place a COD order above Rs 20,000.</t>
  </si>
  <si>
    <t xml:space="preserve">Order note shows Safe with score 25 and the reason 'High-value Cash on Delivery order'.</t>
  </si>
  <si>
    <t xml:space="preserve">FRD-03</t>
  </si>
  <si>
    <t xml:space="preserve">Repeated orders are flagged</t>
  </si>
  <si>
    <t xml:space="preserve">Place 4 COD orders above Rs 20,000 within 10 minutes using the same email.</t>
  </si>
  <si>
    <t xml:space="preserve">The 4th order is Flagged (score 55 or more), put On hold, with reasons in the order note.</t>
  </si>
  <si>
    <t xml:space="preserve">FRD-04</t>
  </si>
  <si>
    <t xml:space="preserve">Flagged orders show in the dashboard</t>
  </si>
  <si>
    <t xml:space="preserve">Open WooCommerce &gt; AI Agents after the flagged order.</t>
  </si>
  <si>
    <t xml:space="preserve">The order is listed under Orders flagged by the fraud agent with score and reasons.</t>
  </si>
  <si>
    <t xml:space="preserve">FRD-05</t>
  </si>
  <si>
    <t xml:space="preserve">A sleeping agent never blocks an order</t>
  </si>
  <si>
    <t xml:space="preserve">Leave the service idle 20+ minutes, then place an order.</t>
  </si>
  <si>
    <t xml:space="preserve">The order is still placed (it may take longer). The note shows a result or 'unreachable'.</t>
  </si>
  <si>
    <t xml:space="preserve">FRD-06</t>
  </si>
  <si>
    <t xml:space="preserve">Each order is checked once</t>
  </si>
  <si>
    <t xml:space="preserve">Change an order status twice (e.g. Processing, On hold, Processing).</t>
  </si>
  <si>
    <t xml:space="preserve">Only one fraud note exists for the order.</t>
  </si>
  <si>
    <t xml:space="preserve">FRD-07</t>
  </si>
  <si>
    <t xml:space="preserve">Direct API check</t>
  </si>
  <si>
    <t xml:space="preserve">Open https://ai-agents-service-tdhq.onrender.com/docs. Run POST /fraud/check with IP 10.0.0.5, COD, amount 45000, checkout_seconds 8.</t>
  </si>
  <si>
    <t xml:space="preserve">Result is Flagged with score 95 and four reasons.</t>
  </si>
  <si>
    <t xml:space="preserve">REF-01</t>
  </si>
  <si>
    <t xml:space="preserve">Agent 1 Refund</t>
  </si>
  <si>
    <t xml:space="preserve">Refund form loads</t>
  </si>
  <si>
    <t xml:space="preserve">Open the Request a Refund page.</t>
  </si>
  <si>
    <t xml:space="preserve">Form with order number, email and message is shown.</t>
  </si>
  <si>
    <t xml:space="preserve">REF-02</t>
  </si>
  <si>
    <t xml:space="preserve">Small recent refund is auto-approved</t>
  </si>
  <si>
    <t xml:space="preserve">Mark a COD order of Rs 5,000 or less as Completed. Within 24 hours submit the form with a message like 'item damaged, I want a refund'.</t>
  </si>
  <si>
    <t xml:space="preserve">Message says Approved with the reason. Dashboard shows status auto_approved.</t>
  </si>
  <si>
    <t xml:space="preserve">REF-03</t>
  </si>
  <si>
    <t xml:space="preserve">Large refund waits for an admin</t>
  </si>
  <si>
    <t xml:space="preserve">Complete an order above Rs 5,000. Within 24 hours submit a refund request.</t>
  </si>
  <si>
    <t xml:space="preserve">Customer sees 'Received...'. The request appears under Refund and cancel requests waiting for you.</t>
  </si>
  <si>
    <t xml:space="preserve">REF-04</t>
  </si>
  <si>
    <t xml:space="preserve">Admin approves a request</t>
  </si>
  <si>
    <t xml:space="preserve">In WooCommerce &gt; AI Agents click Approve on a waiting request.</t>
  </si>
  <si>
    <t xml:space="preserve">Notice says status approved. It moves to Recent refund requests.</t>
  </si>
  <si>
    <t xml:space="preserve">REF-05</t>
  </si>
  <si>
    <t xml:space="preserve">Admin rejects with a note</t>
  </si>
  <si>
    <t xml:space="preserve">Click Reject on another waiting request with a note.</t>
  </si>
  <si>
    <t xml:space="preserve">Status becomes rejected and the note is saved.</t>
  </si>
  <si>
    <t xml:space="preserve">REF-06</t>
  </si>
  <si>
    <t xml:space="preserve">Cancel before delivery (COD)</t>
  </si>
  <si>
    <t xml:space="preserve">Place a COD order but leave it Processing. Submit the form with 'please cancel my order'.</t>
  </si>
  <si>
    <t xml:space="preserve">Request is approved automatically as a cancellation.</t>
  </si>
  <si>
    <t xml:space="preserve">REF-07</t>
  </si>
  <si>
    <t xml:space="preserve">Refund after 24 hours goes to an admin</t>
  </si>
  <si>
    <t xml:space="preserve">Using https://ai-agents-service-tdhq.onrender.com/docs, POST /refund/request with an order that was delivered 3 days ago.</t>
  </si>
  <si>
    <t xml:space="preserve">Status is pending_approval with the reason 'outside the 24h auto window'.</t>
  </si>
  <si>
    <t xml:space="preserve">REF-08</t>
  </si>
  <si>
    <t xml:space="preserve">Refund after 7 days is rejected</t>
  </si>
  <si>
    <t xml:space="preserve">Using /docs, POST /refund/request with delivered_at 10 days ago.</t>
  </si>
  <si>
    <t xml:space="preserve">Status is auto_rejected with the 7-day reason.</t>
  </si>
  <si>
    <t xml:space="preserve">REF-09</t>
  </si>
  <si>
    <t xml:space="preserve">Wrong email is refused</t>
  </si>
  <si>
    <t xml:space="preserve">Submit the form with the right order number but a different email.</t>
  </si>
  <si>
    <t xml:space="preserve">Message: could not find an order matching those details.</t>
  </si>
  <si>
    <t xml:space="preserve">REF-10</t>
  </si>
  <si>
    <t xml:space="preserve">Only one request per order</t>
  </si>
  <si>
    <t xml:space="preserve">Submit a second refund request for an order that already has one.</t>
  </si>
  <si>
    <t xml:space="preserve">Message says a request for this order already exists.</t>
  </si>
  <si>
    <t xml:space="preserve">REF-11</t>
  </si>
  <si>
    <t xml:space="preserve">Unclear message goes to an admin</t>
  </si>
  <si>
    <t xml:space="preserve">Submit a request with the message 'what is your phone number'.</t>
  </si>
  <si>
    <t xml:space="preserve">Request is pending_approval for a person to read.</t>
  </si>
  <si>
    <t xml:space="preserve">REF-12</t>
  </si>
  <si>
    <t xml:space="preserve">Approval still works after the service slept</t>
  </si>
  <si>
    <t xml:space="preserve">Create a waiting request, leave the service idle 20+ minutes, then click Approve.</t>
  </si>
  <si>
    <t xml:space="preserve">Approval succeeds and the status updates.</t>
  </si>
  <si>
    <t xml:space="preserve">REF-13</t>
  </si>
  <si>
    <t xml:space="preserve">Customer text cannot run scripts</t>
  </si>
  <si>
    <t xml:space="preserve">Submit a refund message containing &lt;script&gt;alert(1)&lt;/script&gt;.</t>
  </si>
  <si>
    <t xml:space="preserve">The text shows as plain text in the dashboard. No popup appears.</t>
  </si>
  <si>
    <t xml:space="preserve">SRCH-01</t>
  </si>
  <si>
    <t xml:space="preserve">Agent 2 Search</t>
  </si>
  <si>
    <t xml:space="preserve">Product sync</t>
  </si>
  <si>
    <t xml:space="preserve">Open WooCommerce &gt; Sync to AI agents and click Sync all products now.</t>
  </si>
  <si>
    <t xml:space="preserve">Message shows the number synced and 0 errors. The count matches your published products.</t>
  </si>
  <si>
    <t xml:space="preserve">SRCH-02</t>
  </si>
  <si>
    <t xml:space="preserve">New product is searchable automatically</t>
  </si>
  <si>
    <t xml:space="preserve">Publish a new product with a unique name. Wait one minute. Search for it.</t>
  </si>
  <si>
    <t xml:space="preserve">It appears in the search results without pressing the sync button.</t>
  </si>
  <si>
    <t xml:space="preserve">SRCH-03</t>
  </si>
  <si>
    <t xml:space="preserve">Price change is picked up</t>
  </si>
  <si>
    <t xml:space="preserve">Change a product price across a budget limit, then search with that budget.</t>
  </si>
  <si>
    <t xml:space="preserve">Results follow the new price.</t>
  </si>
  <si>
    <t xml:space="preserve">SRCH-04</t>
  </si>
  <si>
    <t xml:space="preserve">Trashed product disappears from search</t>
  </si>
  <si>
    <t xml:space="preserve">Trash a product, then search for it.</t>
  </si>
  <si>
    <t xml:space="preserve">It is not in the results.</t>
  </si>
  <si>
    <t xml:space="preserve">SRCH-05</t>
  </si>
  <si>
    <t xml:space="preserve">Budget on the results page</t>
  </si>
  <si>
    <t xml:space="preserve">Open https://testv3.websitedemolynk.com/discountv2/?s=cooking+oil+under+3000&amp;post_type=product</t>
  </si>
  <si>
    <t xml:space="preserve">Only cooking-oil products priced Rs 3,000 or less are shown, best match first.</t>
  </si>
  <si>
    <t xml:space="preserve">SRCH-06</t>
  </si>
  <si>
    <t xml:space="preserve">Two items in one search</t>
  </si>
  <si>
    <t xml:space="preserve">Search cooking oil and ghee under 4000 on the site.</t>
  </si>
  <si>
    <t xml:space="preserve">Both oil and ghee products are shown, none above Rs 4,000.</t>
  </si>
  <si>
    <t xml:space="preserve">SRCH-07</t>
  </si>
  <si>
    <t xml:space="preserve">The search bar dropdown uses the agent</t>
  </si>
  <si>
    <t xml:space="preserve">Clear WooCommerce &gt; AI Search Log, type a query in the search bar, reload the log.</t>
  </si>
  <si>
    <t xml:space="preserve">Log shows 'agent ranking applied' for the typed text.</t>
  </si>
  <si>
    <t xml:space="preserve">SRCH-08</t>
  </si>
  <si>
    <t xml:space="preserve">Roman Urdu / mixed language</t>
  </si>
  <si>
    <t xml:space="preserve">Search 'ghee aur oil under 4000'.</t>
  </si>
  <si>
    <t xml:space="preserve">Understood as two items with a Rs 4,000 budget.</t>
  </si>
  <si>
    <t xml:space="preserve">SRCH-09</t>
  </si>
  <si>
    <t xml:space="preserve">No match is handled</t>
  </si>
  <si>
    <t xml:space="preserve">Search for zzzzqqq.</t>
  </si>
  <si>
    <t xml:space="preserve">A normal 'no products found' message, no error.</t>
  </si>
  <si>
    <t xml:space="preserve">SRCH-10</t>
  </si>
  <si>
    <t xml:space="preserve">Search still works when the agent is asleep</t>
  </si>
  <si>
    <t xml:space="preserve">After 20+ minutes idle, search once.</t>
  </si>
  <si>
    <t xml:space="preserve">Results appear (normal WordPress search at worst). No blank page or error.</t>
  </si>
  <si>
    <t xml:space="preserve">SRCH-11</t>
  </si>
  <si>
    <t xml:space="preserve">Out-of-stock products are hidden</t>
  </si>
  <si>
    <t xml:space="preserve">Set a product Out of stock, wait a minute, search for it.</t>
  </si>
  <si>
    <t xml:space="preserve">It is not suggested by the AI search.</t>
  </si>
  <si>
    <t xml:space="preserve">SRCH-12</t>
  </si>
  <si>
    <t xml:space="preserve">Search limit is graceful</t>
  </si>
  <si>
    <t xml:space="preserve">Run more than 20 different searches within a minute.</t>
  </si>
  <si>
    <t xml:space="preserve">Search keeps working (falls back to normal search). No error.</t>
  </si>
  <si>
    <t xml:space="preserve">ONB-01</t>
  </si>
  <si>
    <t xml:space="preserve">Agent 5 Onboarding</t>
  </si>
  <si>
    <t xml:space="preserve">Onboarding page loads</t>
  </si>
  <si>
    <t xml:space="preserve">Open WooCommerce &gt; AI Product Onboarding.</t>
  </si>
  <si>
    <t xml:space="preserve">Form with product name and photo upload is shown.</t>
  </si>
  <si>
    <t xml:space="preserve">ONB-02</t>
  </si>
  <si>
    <t xml:space="preserve">Create a draft from a photo</t>
  </si>
  <si>
    <t xml:space="preserve">Enter a product name, upload a clear photo, click Create draft with AI.</t>
  </si>
  <si>
    <t xml:space="preserve">Green notice with a link. A Draft product exists with title, descriptions, category, tags and the photo.</t>
  </si>
  <si>
    <t xml:space="preserve">ONB-03</t>
  </si>
  <si>
    <t xml:space="preserve">The agent really read the photo</t>
  </si>
  <si>
    <t xml:space="preserve">Open 'What the agent did' in the notice.</t>
  </si>
  <si>
    <t xml:space="preserve">A line starts with 'Gemini Vision saw'. If it says no key or failed, the template was used.</t>
  </si>
  <si>
    <t xml:space="preserve">ONB-04</t>
  </si>
  <si>
    <t xml:space="preserve">Description follows the rules</t>
  </si>
  <si>
    <t xml:space="preserve">Read the generated description.</t>
  </si>
  <si>
    <t xml:space="preserve">60 to 250 words, mentions the product, no price, no unsupported claims (organic, halal, certified).</t>
  </si>
  <si>
    <t xml:space="preserve">ONB-05</t>
  </si>
  <si>
    <t xml:space="preserve">SEO fields are filled</t>
  </si>
  <si>
    <t xml:space="preserve">Open the draft and look at the SEO box.</t>
  </si>
  <si>
    <t xml:space="preserve">SEO title is 60 characters or less, meta description 110 to 160, focus keyword is set.</t>
  </si>
  <si>
    <t xml:space="preserve">ONB-06</t>
  </si>
  <si>
    <t xml:space="preserve">Category and tags</t>
  </si>
  <si>
    <t xml:space="preserve">Check the draft's category and tags.</t>
  </si>
  <si>
    <t xml:space="preserve">Category is one of your existing categories. Tags are sensible and lowercase.</t>
  </si>
  <si>
    <t xml:space="preserve">ONB-07</t>
  </si>
  <si>
    <t xml:space="preserve">Draft is not public</t>
  </si>
  <si>
    <t xml:space="preserve">Open the shop and search for the new product.</t>
  </si>
  <si>
    <t xml:space="preserve">It is not visible until a person publishes it.</t>
  </si>
  <si>
    <t xml:space="preserve">ONB-08</t>
  </si>
  <si>
    <t xml:space="preserve">Wrong file type is refused</t>
  </si>
  <si>
    <t xml:space="preserve">Upload a PDF or GIF.</t>
  </si>
  <si>
    <t xml:space="preserve">Friendly message asking for JPG, PNG or WebP. No product is created.</t>
  </si>
  <si>
    <t xml:space="preserve">ONB-09</t>
  </si>
  <si>
    <t xml:space="preserve">Large photos</t>
  </si>
  <si>
    <t xml:space="preserve">Upload a 6 to 10 MB phone photo. Then try a file over 10 MB.</t>
  </si>
  <si>
    <t xml:space="preserve">The 6 to 10 MB photo works. The larger file is refused with a message.</t>
  </si>
  <si>
    <t xml:space="preserve">ONB-10</t>
  </si>
  <si>
    <t xml:space="preserve">Claims allowed only when shown</t>
  </si>
  <si>
    <t xml:space="preserve">Create a product named 'Organic Honey 500g Jar'.</t>
  </si>
  <si>
    <t xml:space="preserve">'Organic' may appear because it is in the name. For other names it must not appear.</t>
  </si>
  <si>
    <t xml:space="preserve">ONB-11</t>
  </si>
  <si>
    <t xml:space="preserve">Price and stock are left empty</t>
  </si>
  <si>
    <t xml:space="preserve">Open the new draft.</t>
  </si>
  <si>
    <t xml:space="preserve">Price and stock are empty and the notice reminds you to set them.</t>
  </si>
  <si>
    <t xml:space="preserve">PRC-01</t>
  </si>
  <si>
    <t xml:space="preserve">Agent 3 Pricing</t>
  </si>
  <si>
    <t xml:space="preserve">Audit page loads</t>
  </si>
  <si>
    <t xml:space="preserve">Open WooCommerce &gt; AI Price Audit.</t>
  </si>
  <si>
    <t xml:space="preserve">Dropdown lists products and pack sizes. Recent audits table is shown.</t>
  </si>
  <si>
    <t xml:space="preserve">PRC-02</t>
  </si>
  <si>
    <t xml:space="preserve">Run an audit</t>
  </si>
  <si>
    <t xml:space="preserve">Choose KISAN COOKING OIL 5 Liter and click Audit this product (allow up to a minute).</t>
  </si>
  <si>
    <t xml:space="preserve">A new row appears with a suggestion, confidence and the competitor prices.</t>
  </si>
  <si>
    <t xml:space="preserve">PRC-03</t>
  </si>
  <si>
    <t xml:space="preserve">Prices match the sources</t>
  </si>
  <si>
    <t xml:space="preserve">Open two competitor links from the row.</t>
  </si>
  <si>
    <t xml:space="preserve">The prices on those pages match what the agent reported (allow small changes over time).</t>
  </si>
  <si>
    <t xml:space="preserve">PRC-04</t>
  </si>
  <si>
    <t xml:space="preserve">Wrong pack sizes are ignored</t>
  </si>
  <si>
    <t xml:space="preserve">Check the competitor list for a 5 liter audit.</t>
  </si>
  <si>
    <t xml:space="preserve">No 1 liter or other pack prices are used.</t>
  </si>
  <si>
    <t xml:space="preserve">PRC-05</t>
  </si>
  <si>
    <t xml:space="preserve">Suggestion rules</t>
  </si>
  <si>
    <t xml:space="preserve">Compare your price with the median in the row.</t>
  </si>
  <si>
    <t xml:space="preserve">More than 5% above the median gives lower, more than 5% below gives raise, otherwise keep. Change is 15% at most and rounded to Rs 5.</t>
  </si>
  <si>
    <t xml:space="preserve">PRC-06</t>
  </si>
  <si>
    <t xml:space="preserve">Minimum price is respected</t>
  </si>
  <si>
    <t xml:space="preserve">Audit again with Lowest price I accept above the suggestion.</t>
  </si>
  <si>
    <t xml:space="preserve">Suggested price is never below that minimum.</t>
  </si>
  <si>
    <t xml:space="preserve">PRC-07</t>
  </si>
  <si>
    <t xml:space="preserve">Apply this price</t>
  </si>
  <si>
    <t xml:space="preserve">Click Apply this price on a lower or raise suggestion and confirm.</t>
  </si>
  <si>
    <t xml:space="preserve">Product price changes in WooCommerce and the status becomes applied.</t>
  </si>
  <si>
    <t xml:space="preserve">PRC-08</t>
  </si>
  <si>
    <t xml:space="preserve">Sale price is protected</t>
  </si>
  <si>
    <t xml:space="preserve">Try Apply on a product that has a sale price.</t>
  </si>
  <si>
    <t xml:space="preserve">A message asks you to change the price by hand. Nothing changes.</t>
  </si>
  <si>
    <t xml:space="preserve">PRC-09</t>
  </si>
  <si>
    <t xml:space="preserve">Dismiss</t>
  </si>
  <si>
    <t xml:space="preserve">Click Dismiss on a suggestion.</t>
  </si>
  <si>
    <t xml:space="preserve">Status becomes dismissed and no price changes.</t>
  </si>
  <si>
    <t xml:space="preserve">PRC-10</t>
  </si>
  <si>
    <t xml:space="preserve">Duplicate audit reuses the result</t>
  </si>
  <si>
    <t xml:space="preserve">Audit the same product again within 10 minutes.</t>
  </si>
  <si>
    <t xml:space="preserve">Steps start with 'Reused the audit' and no new search is made.</t>
  </si>
  <si>
    <t xml:space="preserve">PRC-11</t>
  </si>
  <si>
    <t xml:space="preserve">No search key or search down</t>
  </si>
  <si>
    <t xml:space="preserve">Audit when Tavily is unavailable (or with an invalid key on a test copy).</t>
  </si>
  <si>
    <t xml:space="preserve">Result says no_data with a clear reason. No crash.</t>
  </si>
  <si>
    <t xml:space="preserve">PRC-12</t>
  </si>
  <si>
    <t xml:space="preserve">Own website is not a competitor</t>
  </si>
  <si>
    <t xml:space="preserve">Read the competitor list.</t>
  </si>
  <si>
    <t xml:space="preserve">Your own shop is never listed.</t>
  </si>
  <si>
    <t xml:space="preserve">SEC-01</t>
  </si>
  <si>
    <t xml:space="preserve">Security</t>
  </si>
  <si>
    <t xml:space="preserve">No secrets on GitHub</t>
  </si>
  <si>
    <t xml:space="preserve">Open the GitHub repo. Check there is no .env file and search for your key text.</t>
  </si>
  <si>
    <t xml:space="preserve">No keys or passwords appear anywhere in the repo.</t>
  </si>
  <si>
    <t xml:space="preserve">SEC-02</t>
  </si>
  <si>
    <t xml:space="preserve">Site key is required</t>
  </si>
  <si>
    <t xml:space="preserve">In https://ai-agents-service-tdhq.onrender.com/docs run POST /recommendations without a site key (only if SITE_API_KEY is set on Render).</t>
  </si>
  <si>
    <t xml:space="preserve">Answer is 401 Unauthorized.</t>
  </si>
  <si>
    <t xml:space="preserve">SEC-03</t>
  </si>
  <si>
    <t xml:space="preserve">Admin endpoints are protected</t>
  </si>
  <si>
    <t xml:space="preserve">In /docs run GET /refund/requests without an admin key.</t>
  </si>
  <si>
    <t xml:space="preserve">SEC-04</t>
  </si>
  <si>
    <t xml:space="preserve">Keys live in one place</t>
  </si>
  <si>
    <t xml:space="preserve">Check WordPress snippets and Render settings.</t>
  </si>
  <si>
    <t xml:space="preserve">Keys are only in the config snippet and Render environment. No other snippet has a key typed in.</t>
  </si>
  <si>
    <t xml:space="preserve">SEC-05</t>
  </si>
  <si>
    <t xml:space="preserve">Customers cannot open admin pages</t>
  </si>
  <si>
    <t xml:space="preserve">Log in as a normal customer. Open /wp-admin/admin.php?page=ds-agents-dashboard.</t>
  </si>
  <si>
    <t xml:space="preserve">Access is denied.</t>
  </si>
  <si>
    <t xml:space="preserve">SEC-06</t>
  </si>
  <si>
    <t xml:space="preserve">Fraud endpoints are protected (known gap)</t>
  </si>
  <si>
    <t xml:space="preserve">In /docs run GET /fraud/flagged and POST /fraud/check without any key.</t>
  </si>
  <si>
    <t xml:space="preserve">EXPECTED: 401. KNOWN GAP: these two endpoints are currently open. Fix before final submission.</t>
  </si>
  <si>
    <t xml:space="preserve">SEC-07</t>
  </si>
  <si>
    <t xml:space="preserve">Wake-up after idle</t>
  </si>
  <si>
    <t xml:space="preserve">Leave the service idle 20+ minutes. Then open /health.</t>
  </si>
  <si>
    <t xml:space="preserve">It answers within about a minute and normal use continues.</t>
  </si>
  <si>
    <t xml:space="preserve">SEC-08</t>
  </si>
  <si>
    <t xml:space="preserve">Standalone admin page</t>
  </si>
  <si>
    <t xml:space="preserve">Open https://ai-agents-service-tdhq.onrender.com/admin.</t>
  </si>
  <si>
    <t xml:space="preserve">Either works with the admin key, or returns 404 if DISABLE_ADMIN_PAGE is set.</t>
  </si>
  <si>
    <t xml:space="preserve">DEP-01</t>
  </si>
  <si>
    <t xml:space="preserve">Deployment</t>
  </si>
  <si>
    <t xml:space="preserve">Render service is live</t>
  </si>
  <si>
    <t xml:space="preserve">Open https://ai-agents-service-tdhq.onrender.com/health.</t>
  </si>
  <si>
    <t xml:space="preserve">Shows status ok.</t>
  </si>
  <si>
    <t xml:space="preserve">DEP-02</t>
  </si>
  <si>
    <t xml:space="preserve">Database is connected</t>
  </si>
  <si>
    <t xml:space="preserve">In /docs run GET /catalog/stats with the admin key.</t>
  </si>
  <si>
    <t xml:space="preserve">Shows total, in_stock and sample_products 0 after the sync.</t>
  </si>
  <si>
    <t xml:space="preserve">DEP-03</t>
  </si>
  <si>
    <t xml:space="preserve">Environment variables are set</t>
  </si>
  <si>
    <t xml:space="preserve">Check Render &gt; Environment.</t>
  </si>
  <si>
    <t xml:space="preserve">DATABASE_URL, GOOGLE_API_KEY, TAVILY_API_KEY, ADMIN_API_KEY and SITE_API_KEY exist with real values (no placeholder).</t>
  </si>
  <si>
    <t xml:space="preserve">DEP-04</t>
  </si>
  <si>
    <t xml:space="preserve">GitHub repository is complete</t>
  </si>
  <si>
    <t xml:space="preserve">Open the repo on GitHub.</t>
  </si>
  <si>
    <t xml:space="preserve">Code, README, render.yaml, tests and wordpress/ snippets are there. No .env, no database file.</t>
  </si>
  <si>
    <t xml:space="preserve">DEP-05</t>
  </si>
  <si>
    <t xml:space="preserve">Automated tests pass</t>
  </si>
  <si>
    <t xml:space="preserve">Run the five test files locally (test_fraud, test_refund, test_discovery, test_onboarding, test_pricing).</t>
  </si>
  <si>
    <t xml:space="preserve">Every file ends with a passed message.</t>
  </si>
  <si>
    <t xml:space="preserve">DEP-06</t>
  </si>
  <si>
    <t xml:space="preserve">Live website URL works</t>
  </si>
  <si>
    <t xml:space="preserve">Open https://testv3.websitedemolynk.com/discountv2/ in a private browser window.</t>
  </si>
  <si>
    <t xml:space="preserve">Shop opens normally for visitors (Coming soon mode is off).</t>
  </si>
  <si>
    <t xml:space="preserve">DEP-07</t>
  </si>
  <si>
    <t xml:space="preserve">Shop stays fast with agents installed</t>
  </si>
  <si>
    <t xml:space="preserve">Open the shop, search once and place an order, watching the speed.</t>
  </si>
  <si>
    <t xml:space="preserve">No noticeable delay for customers beyond the first request after idle.</t>
  </si>
  <si>
    <t xml:space="preserve">UAT Summary (updates automatically)</t>
  </si>
  <si>
    <t xml:space="preserve">Total</t>
  </si>
  <si>
    <t xml:space="preserve">Pass</t>
  </si>
  <si>
    <t xml:space="preserve">Fail</t>
  </si>
  <si>
    <t xml:space="preserve">Blocked</t>
  </si>
  <si>
    <t xml:space="preserve">% Passed</t>
  </si>
  <si>
    <t xml:space="preserve">TOTAL</t>
  </si>
  <si>
    <t xml:space="preserve">High priority tests not yet Pass</t>
  </si>
  <si>
    <t xml:space="preserve">Submission status</t>
  </si>
  <si>
    <t xml:space="preserve">Test data to reuse</t>
  </si>
  <si>
    <t xml:space="preserve">Item</t>
  </si>
  <si>
    <t xml:space="preserve">Value</t>
  </si>
  <si>
    <t xml:space="preserve">Used in</t>
  </si>
  <si>
    <t xml:space="preserve">Product: BESAN 500gm</t>
  </si>
  <si>
    <t xml:space="preserve">Rs 100 (from your earlier test order)</t>
  </si>
  <si>
    <t xml:space="preserve">CART, CHK</t>
  </si>
  <si>
    <t xml:space="preserve">Product: DALDA BANASPATI GHEE, 5 kg Pouch Carton</t>
  </si>
  <si>
    <t xml:space="preserve">Rs 3,125 each (8 units = Rs 25,000)</t>
  </si>
  <si>
    <t xml:space="preserve">CART, FRD, REF</t>
  </si>
  <si>
    <t xml:space="preserve">Product: KISAN COOKING OIL, 5 Liter Pouch Carton</t>
  </si>
  <si>
    <t xml:space="preserve">Rs 2,875 each (25 units = Rs 71,875)</t>
  </si>
  <si>
    <t xml:space="preserve">SRCH, PRC, FRD</t>
  </si>
  <si>
    <t xml:space="preserve">Test customer email</t>
  </si>
  <si>
    <t xml:space="preserve">Use an email address you control (example: yourname+test1@gmail.com)</t>
  </si>
  <si>
    <t xml:space="preserve">CHK, FRD, REF</t>
  </si>
  <si>
    <t xml:space="preserve">Search: budget</t>
  </si>
  <si>
    <t xml:space="preserve">cooking oil under 3000</t>
  </si>
  <si>
    <t xml:space="preserve">SRCH</t>
  </si>
  <si>
    <t xml:space="preserve">Search: two items</t>
  </si>
  <si>
    <t xml:space="preserve">cooking oil and ghee under 4000</t>
  </si>
  <si>
    <t xml:space="preserve">Search: mixed language</t>
  </si>
  <si>
    <t xml:space="preserve">ghee aur oil under 4000</t>
  </si>
  <si>
    <t xml:space="preserve">Search: no match</t>
  </si>
  <si>
    <t xml:space="preserve">zzzzqqq</t>
  </si>
  <si>
    <t xml:space="preserve">Refund message: damaged</t>
  </si>
  <si>
    <t xml:space="preserve">The ghee carton arrived damaged, I want my money back</t>
  </si>
  <si>
    <t xml:space="preserve">REF</t>
  </si>
  <si>
    <t xml:space="preserve">Refund message: cancel</t>
  </si>
  <si>
    <t xml:space="preserve">Please cancel my order</t>
  </si>
  <si>
    <t xml:space="preserve">Refund message: unclear</t>
  </si>
  <si>
    <t xml:space="preserve">what is your phone number</t>
  </si>
  <si>
    <t xml:space="preserve">Script test text</t>
  </si>
  <si>
    <t xml:space="preserve">&lt;script&gt;alert(1)&lt;/script&gt;</t>
  </si>
  <si>
    <t xml:space="preserve">REF, SEC</t>
  </si>
  <si>
    <t xml:space="preserve">Results page address</t>
  </si>
  <si>
    <t xml:space="preserve">https://testv3.websitedemolynk.com/discountv2/?s=cooking+oil+under+3000&amp;post_type=product</t>
  </si>
  <si>
    <t xml:space="preserve">Search debug address</t>
  </si>
  <si>
    <t xml:space="preserve">Add &amp;ds_ai_debug=1 to a results page address (admin only)</t>
  </si>
  <si>
    <t xml:space="preserve">Agent service health</t>
  </si>
  <si>
    <t xml:space="preserve">https://ai-agents-service-tdhq.onrender.com/health</t>
  </si>
  <si>
    <t xml:space="preserve">DEP, SEC</t>
  </si>
  <si>
    <t xml:space="preserve">Agent service test page</t>
  </si>
  <si>
    <t xml:space="preserve">https://ai-agents-service-tdhq.onrender.com/docs</t>
  </si>
  <si>
    <t xml:space="preserve">FRD, REF, SEC, DEP</t>
  </si>
  <si>
    <t xml:space="preserve">Product names and prices come from your earlier test orders; replace them if your catalog changes.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</si>
</sst>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7FC7"/>
        <bgColor rgb="FF008080"/>
      </patternFill>
    </fill>
    <fill>
      <patternFill patternType="solid">
        <fgColor rgb="FFE3F2FD"/>
        <bgColor rgb="FFCCFFFF"/>
      </patternFill>
    </fill>
    <fill>
      <patternFill patternType="solid">
        <fgColor rgb="FF1F3A5F"/>
        <bgColor rgb="FF333333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3F2FD"/>
      <rgbColor rgb="FF660066"/>
      <rgbColor rgb="FFFF8080"/>
      <rgbColor rgb="FF0B7FC7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3.75" hidden="false" customHeight="true" outlineLevel="0" collapsed="false">
      <c r="A1" s="1" t="s">
        <v>0</v>
      </c>
      <c r="B1" s="1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  <row r="15" customFormat="false" ht="15" hidden="false" customHeight="false" outlineLevel="0" collapsed="false">
      <c r="A15" s="4" t="s">
        <v>23</v>
      </c>
    </row>
    <row r="16" customFormat="false" ht="23.85" hidden="false" customHeight="false" outlineLevel="0" collapsed="false">
      <c r="A16" s="2" t="s">
        <v>24</v>
      </c>
      <c r="B16" s="3" t="s">
        <v>25</v>
      </c>
    </row>
    <row r="17" customFormat="false" ht="35.05" hidden="false" customHeight="false" outlineLevel="0" collapsed="false">
      <c r="A17" s="2" t="s">
        <v>26</v>
      </c>
      <c r="B17" s="3" t="s">
        <v>27</v>
      </c>
    </row>
    <row r="18" customFormat="false" ht="23.85" hidden="false" customHeight="false" outlineLevel="0" collapsed="false">
      <c r="A18" s="2" t="s">
        <v>28</v>
      </c>
      <c r="B18" s="3" t="s">
        <v>29</v>
      </c>
    </row>
    <row r="19" customFormat="false" ht="23.85" hidden="false" customHeight="false" outlineLevel="0" collapsed="false">
      <c r="A19" s="2" t="s">
        <v>30</v>
      </c>
      <c r="B19" s="3" t="s">
        <v>31</v>
      </c>
    </row>
    <row r="20" customFormat="false" ht="23.85" hidden="false" customHeight="false" outlineLevel="0" collapsed="false">
      <c r="A20" s="2" t="s">
        <v>32</v>
      </c>
      <c r="B20" s="3" t="s">
        <v>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</row>
    <row r="5" customFormat="false" ht="15" hidden="false" customHeight="false" outlineLevel="0" collapsed="false">
      <c r="A5" s="7" t="s">
        <v>45</v>
      </c>
      <c r="B5" s="8" t="s">
        <v>46</v>
      </c>
      <c r="C5" s="8" t="s">
        <v>47</v>
      </c>
      <c r="D5" s="8" t="s">
        <v>48</v>
      </c>
      <c r="E5" s="8" t="s">
        <v>49</v>
      </c>
      <c r="F5" s="7" t="s">
        <v>50</v>
      </c>
      <c r="G5" s="9" t="s">
        <v>51</v>
      </c>
      <c r="H5" s="10"/>
      <c r="I5" s="11"/>
    </row>
    <row r="6" customFormat="false" ht="23.85" hidden="false" customHeight="false" outlineLevel="0" collapsed="false">
      <c r="A6" s="7" t="s">
        <v>52</v>
      </c>
      <c r="B6" s="8" t="s">
        <v>46</v>
      </c>
      <c r="C6" s="8" t="s">
        <v>53</v>
      </c>
      <c r="D6" s="8" t="s">
        <v>54</v>
      </c>
      <c r="E6" s="8" t="s">
        <v>55</v>
      </c>
      <c r="F6" s="7" t="s">
        <v>50</v>
      </c>
      <c r="G6" s="9" t="s">
        <v>51</v>
      </c>
      <c r="H6" s="10"/>
      <c r="I6" s="11"/>
    </row>
    <row r="7" customFormat="false" ht="23.85" hidden="false" customHeight="false" outlineLevel="0" collapsed="false">
      <c r="A7" s="7" t="s">
        <v>56</v>
      </c>
      <c r="B7" s="8" t="s">
        <v>46</v>
      </c>
      <c r="C7" s="8" t="s">
        <v>57</v>
      </c>
      <c r="D7" s="8" t="s">
        <v>58</v>
      </c>
      <c r="E7" s="8" t="s">
        <v>59</v>
      </c>
      <c r="F7" s="7" t="s">
        <v>50</v>
      </c>
      <c r="G7" s="9" t="s">
        <v>51</v>
      </c>
      <c r="H7" s="10"/>
      <c r="I7" s="11"/>
    </row>
    <row r="8" customFormat="false" ht="15" hidden="false" customHeight="false" outlineLevel="0" collapsed="false">
      <c r="A8" s="7" t="s">
        <v>60</v>
      </c>
      <c r="B8" s="8" t="s">
        <v>46</v>
      </c>
      <c r="C8" s="8" t="s">
        <v>61</v>
      </c>
      <c r="D8" s="8" t="s">
        <v>62</v>
      </c>
      <c r="E8" s="8" t="s">
        <v>63</v>
      </c>
      <c r="F8" s="7" t="s">
        <v>64</v>
      </c>
      <c r="G8" s="9" t="s">
        <v>51</v>
      </c>
      <c r="H8" s="10"/>
      <c r="I8" s="11"/>
    </row>
    <row r="9" customFormat="false" ht="15" hidden="false" customHeight="false" outlineLevel="0" collapsed="false">
      <c r="A9" s="7" t="s">
        <v>65</v>
      </c>
      <c r="B9" s="8" t="s">
        <v>46</v>
      </c>
      <c r="C9" s="8" t="s">
        <v>66</v>
      </c>
      <c r="D9" s="8" t="s">
        <v>67</v>
      </c>
      <c r="E9" s="8" t="s">
        <v>68</v>
      </c>
      <c r="F9" s="7" t="s">
        <v>64</v>
      </c>
      <c r="G9" s="9" t="s">
        <v>51</v>
      </c>
      <c r="H9" s="10"/>
      <c r="I9" s="11"/>
    </row>
    <row r="10" customFormat="false" ht="15" hidden="false" customHeight="false" outlineLevel="0" collapsed="false">
      <c r="A10" s="7" t="s">
        <v>69</v>
      </c>
      <c r="B10" s="8" t="s">
        <v>46</v>
      </c>
      <c r="C10" s="8" t="s">
        <v>70</v>
      </c>
      <c r="D10" s="8" t="s">
        <v>71</v>
      </c>
      <c r="E10" s="8" t="s">
        <v>72</v>
      </c>
      <c r="F10" s="7" t="s">
        <v>64</v>
      </c>
      <c r="G10" s="9" t="s">
        <v>51</v>
      </c>
      <c r="H10" s="10"/>
      <c r="I10" s="11"/>
    </row>
    <row r="11" customFormat="false" ht="23.85" hidden="false" customHeight="false" outlineLevel="0" collapsed="false">
      <c r="A11" s="7" t="s">
        <v>73</v>
      </c>
      <c r="B11" s="8" t="s">
        <v>46</v>
      </c>
      <c r="C11" s="8" t="s">
        <v>74</v>
      </c>
      <c r="D11" s="8" t="s">
        <v>75</v>
      </c>
      <c r="E11" s="8" t="s">
        <v>76</v>
      </c>
      <c r="F11" s="7" t="s">
        <v>77</v>
      </c>
      <c r="G11" s="9" t="s">
        <v>51</v>
      </c>
      <c r="H11" s="10"/>
      <c r="I11" s="11"/>
    </row>
    <row r="12" customFormat="false" ht="15" hidden="false" customHeight="false" outlineLevel="0" collapsed="false">
      <c r="A12" s="7" t="s">
        <v>78</v>
      </c>
      <c r="B12" s="8" t="s">
        <v>46</v>
      </c>
      <c r="C12" s="8" t="s">
        <v>79</v>
      </c>
      <c r="D12" s="8" t="s">
        <v>80</v>
      </c>
      <c r="E12" s="8" t="s">
        <v>81</v>
      </c>
      <c r="F12" s="7" t="s">
        <v>64</v>
      </c>
      <c r="G12" s="9" t="s">
        <v>51</v>
      </c>
      <c r="H12" s="10"/>
      <c r="I12" s="11"/>
    </row>
    <row r="13" customFormat="false" ht="15" hidden="false" customHeight="false" outlineLevel="0" collapsed="false">
      <c r="A13" s="7" t="s">
        <v>82</v>
      </c>
      <c r="B13" s="8" t="s">
        <v>46</v>
      </c>
      <c r="C13" s="8" t="s">
        <v>83</v>
      </c>
      <c r="D13" s="8" t="s">
        <v>84</v>
      </c>
      <c r="E13" s="8" t="s">
        <v>85</v>
      </c>
      <c r="F13" s="7" t="s">
        <v>77</v>
      </c>
      <c r="G13" s="9" t="s">
        <v>51</v>
      </c>
      <c r="H13" s="10"/>
      <c r="I13" s="11"/>
    </row>
    <row r="14" customFormat="false" ht="23.85" hidden="false" customHeight="false" outlineLevel="0" collapsed="false">
      <c r="A14" s="7" t="s">
        <v>86</v>
      </c>
      <c r="B14" s="8" t="s">
        <v>87</v>
      </c>
      <c r="C14" s="8" t="s">
        <v>88</v>
      </c>
      <c r="D14" s="8" t="s">
        <v>89</v>
      </c>
      <c r="E14" s="8" t="s">
        <v>90</v>
      </c>
      <c r="F14" s="7" t="s">
        <v>50</v>
      </c>
      <c r="G14" s="9" t="s">
        <v>51</v>
      </c>
      <c r="H14" s="10"/>
      <c r="I14" s="11"/>
    </row>
    <row r="15" customFormat="false" ht="15" hidden="false" customHeight="false" outlineLevel="0" collapsed="false">
      <c r="A15" s="7" t="s">
        <v>91</v>
      </c>
      <c r="B15" s="8" t="s">
        <v>87</v>
      </c>
      <c r="C15" s="8" t="s">
        <v>92</v>
      </c>
      <c r="D15" s="8" t="s">
        <v>93</v>
      </c>
      <c r="E15" s="8" t="s">
        <v>94</v>
      </c>
      <c r="F15" s="7" t="s">
        <v>50</v>
      </c>
      <c r="G15" s="9" t="s">
        <v>51</v>
      </c>
      <c r="H15" s="10"/>
      <c r="I15" s="11"/>
    </row>
    <row r="16" customFormat="false" ht="15" hidden="false" customHeight="false" outlineLevel="0" collapsed="false">
      <c r="A16" s="7" t="s">
        <v>95</v>
      </c>
      <c r="B16" s="8" t="s">
        <v>87</v>
      </c>
      <c r="C16" s="8" t="s">
        <v>96</v>
      </c>
      <c r="D16" s="8" t="s">
        <v>97</v>
      </c>
      <c r="E16" s="8" t="s">
        <v>98</v>
      </c>
      <c r="F16" s="7" t="s">
        <v>50</v>
      </c>
      <c r="G16" s="9" t="s">
        <v>51</v>
      </c>
      <c r="H16" s="10"/>
      <c r="I16" s="11"/>
    </row>
    <row r="17" customFormat="false" ht="23.85" hidden="false" customHeight="false" outlineLevel="0" collapsed="false">
      <c r="A17" s="7" t="s">
        <v>99</v>
      </c>
      <c r="B17" s="8" t="s">
        <v>87</v>
      </c>
      <c r="C17" s="8" t="s">
        <v>100</v>
      </c>
      <c r="D17" s="8" t="s">
        <v>101</v>
      </c>
      <c r="E17" s="8" t="s">
        <v>102</v>
      </c>
      <c r="F17" s="7" t="s">
        <v>50</v>
      </c>
      <c r="G17" s="9" t="s">
        <v>51</v>
      </c>
      <c r="H17" s="10"/>
      <c r="I17" s="11"/>
    </row>
    <row r="18" customFormat="false" ht="15" hidden="false" customHeight="false" outlineLevel="0" collapsed="false">
      <c r="A18" s="7" t="s">
        <v>103</v>
      </c>
      <c r="B18" s="8" t="s">
        <v>87</v>
      </c>
      <c r="C18" s="8" t="s">
        <v>104</v>
      </c>
      <c r="D18" s="8" t="s">
        <v>105</v>
      </c>
      <c r="E18" s="8" t="s">
        <v>106</v>
      </c>
      <c r="F18" s="7" t="s">
        <v>77</v>
      </c>
      <c r="G18" s="9" t="s">
        <v>51</v>
      </c>
      <c r="H18" s="10"/>
      <c r="I18" s="11"/>
    </row>
    <row r="19" customFormat="false" ht="23.85" hidden="false" customHeight="false" outlineLevel="0" collapsed="false">
      <c r="A19" s="7" t="s">
        <v>107</v>
      </c>
      <c r="B19" s="8" t="s">
        <v>87</v>
      </c>
      <c r="C19" s="8" t="s">
        <v>108</v>
      </c>
      <c r="D19" s="8" t="s">
        <v>109</v>
      </c>
      <c r="E19" s="8" t="s">
        <v>110</v>
      </c>
      <c r="F19" s="7" t="s">
        <v>64</v>
      </c>
      <c r="G19" s="9" t="s">
        <v>51</v>
      </c>
      <c r="H19" s="10"/>
      <c r="I19" s="11"/>
    </row>
    <row r="20" customFormat="false" ht="15" hidden="false" customHeight="false" outlineLevel="0" collapsed="false">
      <c r="A20" s="7" t="s">
        <v>111</v>
      </c>
      <c r="B20" s="8" t="s">
        <v>87</v>
      </c>
      <c r="C20" s="8" t="s">
        <v>112</v>
      </c>
      <c r="D20" s="8" t="s">
        <v>113</v>
      </c>
      <c r="E20" s="8" t="s">
        <v>114</v>
      </c>
      <c r="F20" s="7" t="s">
        <v>64</v>
      </c>
      <c r="G20" s="9" t="s">
        <v>51</v>
      </c>
      <c r="H20" s="10"/>
      <c r="I20" s="11"/>
    </row>
    <row r="21" customFormat="false" ht="15" hidden="false" customHeight="false" outlineLevel="0" collapsed="false">
      <c r="A21" s="7" t="s">
        <v>115</v>
      </c>
      <c r="B21" s="8" t="s">
        <v>87</v>
      </c>
      <c r="C21" s="8" t="s">
        <v>116</v>
      </c>
      <c r="D21" s="8" t="s">
        <v>117</v>
      </c>
      <c r="E21" s="8" t="s">
        <v>118</v>
      </c>
      <c r="F21" s="7" t="s">
        <v>64</v>
      </c>
      <c r="G21" s="9" t="s">
        <v>51</v>
      </c>
      <c r="H21" s="10"/>
      <c r="I21" s="11"/>
    </row>
    <row r="22" customFormat="false" ht="23.85" hidden="false" customHeight="false" outlineLevel="0" collapsed="false">
      <c r="A22" s="7" t="s">
        <v>119</v>
      </c>
      <c r="B22" s="8" t="s">
        <v>87</v>
      </c>
      <c r="C22" s="8" t="s">
        <v>120</v>
      </c>
      <c r="D22" s="8" t="s">
        <v>121</v>
      </c>
      <c r="E22" s="8" t="s">
        <v>122</v>
      </c>
      <c r="F22" s="7" t="s">
        <v>77</v>
      </c>
      <c r="G22" s="9" t="s">
        <v>51</v>
      </c>
      <c r="H22" s="10"/>
      <c r="I22" s="11"/>
    </row>
    <row r="23" customFormat="false" ht="23.85" hidden="false" customHeight="false" outlineLevel="0" collapsed="false">
      <c r="A23" s="7" t="s">
        <v>123</v>
      </c>
      <c r="B23" s="8" t="s">
        <v>124</v>
      </c>
      <c r="C23" s="8" t="s">
        <v>125</v>
      </c>
      <c r="D23" s="8" t="s">
        <v>126</v>
      </c>
      <c r="E23" s="8" t="s">
        <v>127</v>
      </c>
      <c r="F23" s="7" t="s">
        <v>50</v>
      </c>
      <c r="G23" s="9" t="s">
        <v>51</v>
      </c>
      <c r="H23" s="10"/>
      <c r="I23" s="11"/>
    </row>
    <row r="24" customFormat="false" ht="23.85" hidden="false" customHeight="false" outlineLevel="0" collapsed="false">
      <c r="A24" s="7" t="s">
        <v>128</v>
      </c>
      <c r="B24" s="8" t="s">
        <v>124</v>
      </c>
      <c r="C24" s="8" t="s">
        <v>129</v>
      </c>
      <c r="D24" s="8" t="s">
        <v>130</v>
      </c>
      <c r="E24" s="8" t="s">
        <v>131</v>
      </c>
      <c r="F24" s="7" t="s">
        <v>50</v>
      </c>
      <c r="G24" s="9" t="s">
        <v>51</v>
      </c>
      <c r="H24" s="10"/>
      <c r="I24" s="11"/>
    </row>
    <row r="25" customFormat="false" ht="23.85" hidden="false" customHeight="false" outlineLevel="0" collapsed="false">
      <c r="A25" s="7" t="s">
        <v>132</v>
      </c>
      <c r="B25" s="8" t="s">
        <v>124</v>
      </c>
      <c r="C25" s="8" t="s">
        <v>133</v>
      </c>
      <c r="D25" s="8" t="s">
        <v>134</v>
      </c>
      <c r="E25" s="8" t="s">
        <v>135</v>
      </c>
      <c r="F25" s="7" t="s">
        <v>50</v>
      </c>
      <c r="G25" s="9" t="s">
        <v>51</v>
      </c>
      <c r="H25" s="10"/>
      <c r="I25" s="11"/>
    </row>
    <row r="26" customFormat="false" ht="23.85" hidden="false" customHeight="false" outlineLevel="0" collapsed="false">
      <c r="A26" s="7" t="s">
        <v>136</v>
      </c>
      <c r="B26" s="8" t="s">
        <v>124</v>
      </c>
      <c r="C26" s="8" t="s">
        <v>137</v>
      </c>
      <c r="D26" s="8" t="s">
        <v>138</v>
      </c>
      <c r="E26" s="8" t="s">
        <v>139</v>
      </c>
      <c r="F26" s="7" t="s">
        <v>50</v>
      </c>
      <c r="G26" s="9" t="s">
        <v>51</v>
      </c>
      <c r="H26" s="10"/>
      <c r="I26" s="11"/>
    </row>
    <row r="27" customFormat="false" ht="23.85" hidden="false" customHeight="false" outlineLevel="0" collapsed="false">
      <c r="A27" s="7" t="s">
        <v>140</v>
      </c>
      <c r="B27" s="8" t="s">
        <v>124</v>
      </c>
      <c r="C27" s="8" t="s">
        <v>141</v>
      </c>
      <c r="D27" s="8" t="s">
        <v>142</v>
      </c>
      <c r="E27" s="8" t="s">
        <v>143</v>
      </c>
      <c r="F27" s="7" t="s">
        <v>64</v>
      </c>
      <c r="G27" s="9" t="s">
        <v>51</v>
      </c>
      <c r="H27" s="10"/>
      <c r="I27" s="11"/>
    </row>
    <row r="28" customFormat="false" ht="23.85" hidden="false" customHeight="false" outlineLevel="0" collapsed="false">
      <c r="A28" s="7" t="s">
        <v>144</v>
      </c>
      <c r="B28" s="8" t="s">
        <v>124</v>
      </c>
      <c r="C28" s="8" t="s">
        <v>145</v>
      </c>
      <c r="D28" s="8" t="s">
        <v>146</v>
      </c>
      <c r="E28" s="8" t="s">
        <v>147</v>
      </c>
      <c r="F28" s="7" t="s">
        <v>64</v>
      </c>
      <c r="G28" s="9" t="s">
        <v>51</v>
      </c>
      <c r="H28" s="10"/>
      <c r="I28" s="11"/>
    </row>
    <row r="29" customFormat="false" ht="15" hidden="false" customHeight="false" outlineLevel="0" collapsed="false">
      <c r="A29" s="7" t="s">
        <v>148</v>
      </c>
      <c r="B29" s="8" t="s">
        <v>149</v>
      </c>
      <c r="C29" s="8" t="s">
        <v>150</v>
      </c>
      <c r="D29" s="8" t="s">
        <v>151</v>
      </c>
      <c r="E29" s="8" t="s">
        <v>152</v>
      </c>
      <c r="F29" s="7" t="s">
        <v>50</v>
      </c>
      <c r="G29" s="9" t="s">
        <v>51</v>
      </c>
      <c r="H29" s="10"/>
      <c r="I29" s="11"/>
    </row>
    <row r="30" customFormat="false" ht="15" hidden="false" customHeight="false" outlineLevel="0" collapsed="false">
      <c r="A30" s="7" t="s">
        <v>153</v>
      </c>
      <c r="B30" s="8" t="s">
        <v>149</v>
      </c>
      <c r="C30" s="8" t="s">
        <v>154</v>
      </c>
      <c r="D30" s="8" t="s">
        <v>155</v>
      </c>
      <c r="E30" s="8" t="s">
        <v>156</v>
      </c>
      <c r="F30" s="7" t="s">
        <v>50</v>
      </c>
      <c r="G30" s="9" t="s">
        <v>51</v>
      </c>
      <c r="H30" s="10"/>
      <c r="I30" s="11"/>
    </row>
    <row r="31" customFormat="false" ht="23.85" hidden="false" customHeight="false" outlineLevel="0" collapsed="false">
      <c r="A31" s="7" t="s">
        <v>157</v>
      </c>
      <c r="B31" s="8" t="s">
        <v>149</v>
      </c>
      <c r="C31" s="8" t="s">
        <v>158</v>
      </c>
      <c r="D31" s="8" t="s">
        <v>159</v>
      </c>
      <c r="E31" s="8" t="s">
        <v>160</v>
      </c>
      <c r="F31" s="7" t="s">
        <v>50</v>
      </c>
      <c r="G31" s="9" t="s">
        <v>51</v>
      </c>
      <c r="H31" s="10"/>
      <c r="I31" s="11"/>
    </row>
    <row r="32" customFormat="false" ht="15" hidden="false" customHeight="false" outlineLevel="0" collapsed="false">
      <c r="A32" s="7" t="s">
        <v>161</v>
      </c>
      <c r="B32" s="8" t="s">
        <v>149</v>
      </c>
      <c r="C32" s="8" t="s">
        <v>162</v>
      </c>
      <c r="D32" s="8" t="s">
        <v>163</v>
      </c>
      <c r="E32" s="8" t="s">
        <v>164</v>
      </c>
      <c r="F32" s="7" t="s">
        <v>64</v>
      </c>
      <c r="G32" s="9" t="s">
        <v>51</v>
      </c>
      <c r="H32" s="10"/>
      <c r="I32" s="11"/>
    </row>
    <row r="33" customFormat="false" ht="23.85" hidden="false" customHeight="false" outlineLevel="0" collapsed="false">
      <c r="A33" s="7" t="s">
        <v>165</v>
      </c>
      <c r="B33" s="8" t="s">
        <v>149</v>
      </c>
      <c r="C33" s="8" t="s">
        <v>166</v>
      </c>
      <c r="D33" s="8" t="s">
        <v>167</v>
      </c>
      <c r="E33" s="8" t="s">
        <v>168</v>
      </c>
      <c r="F33" s="7" t="s">
        <v>64</v>
      </c>
      <c r="G33" s="9" t="s">
        <v>51</v>
      </c>
      <c r="H33" s="10"/>
      <c r="I33" s="11"/>
    </row>
    <row r="34" customFormat="false" ht="23.85" hidden="false" customHeight="false" outlineLevel="0" collapsed="false">
      <c r="A34" s="7" t="s">
        <v>169</v>
      </c>
      <c r="B34" s="8" t="s">
        <v>149</v>
      </c>
      <c r="C34" s="8" t="s">
        <v>170</v>
      </c>
      <c r="D34" s="8" t="s">
        <v>171</v>
      </c>
      <c r="E34" s="8" t="s">
        <v>172</v>
      </c>
      <c r="F34" s="7" t="s">
        <v>50</v>
      </c>
      <c r="G34" s="9" t="s">
        <v>51</v>
      </c>
      <c r="H34" s="10"/>
      <c r="I34" s="11"/>
    </row>
    <row r="35" customFormat="false" ht="15" hidden="false" customHeight="false" outlineLevel="0" collapsed="false">
      <c r="A35" s="7" t="s">
        <v>173</v>
      </c>
      <c r="B35" s="8" t="s">
        <v>149</v>
      </c>
      <c r="C35" s="8" t="s">
        <v>174</v>
      </c>
      <c r="D35" s="8" t="s">
        <v>175</v>
      </c>
      <c r="E35" s="8" t="s">
        <v>176</v>
      </c>
      <c r="F35" s="7" t="s">
        <v>64</v>
      </c>
      <c r="G35" s="9" t="s">
        <v>51</v>
      </c>
      <c r="H35" s="10"/>
      <c r="I35" s="11"/>
    </row>
    <row r="36" customFormat="false" ht="15" hidden="false" customHeight="false" outlineLevel="0" collapsed="false">
      <c r="A36" s="7" t="s">
        <v>177</v>
      </c>
      <c r="B36" s="8" t="s">
        <v>149</v>
      </c>
      <c r="C36" s="8" t="s">
        <v>178</v>
      </c>
      <c r="D36" s="8" t="s">
        <v>179</v>
      </c>
      <c r="E36" s="8" t="s">
        <v>180</v>
      </c>
      <c r="F36" s="7" t="s">
        <v>77</v>
      </c>
      <c r="G36" s="9" t="s">
        <v>51</v>
      </c>
      <c r="H36" s="10"/>
      <c r="I36" s="11"/>
    </row>
    <row r="37" customFormat="false" ht="15" hidden="false" customHeight="false" outlineLevel="0" collapsed="false">
      <c r="A37" s="7" t="s">
        <v>181</v>
      </c>
      <c r="B37" s="8" t="s">
        <v>149</v>
      </c>
      <c r="C37" s="8" t="s">
        <v>182</v>
      </c>
      <c r="D37" s="8" t="s">
        <v>183</v>
      </c>
      <c r="E37" s="8" t="s">
        <v>184</v>
      </c>
      <c r="F37" s="7" t="s">
        <v>50</v>
      </c>
      <c r="G37" s="9" t="s">
        <v>51</v>
      </c>
      <c r="H37" s="10"/>
      <c r="I37" s="11"/>
    </row>
    <row r="38" customFormat="false" ht="23.85" hidden="false" customHeight="false" outlineLevel="0" collapsed="false">
      <c r="A38" s="7" t="s">
        <v>185</v>
      </c>
      <c r="B38" s="8" t="s">
        <v>186</v>
      </c>
      <c r="C38" s="8" t="s">
        <v>187</v>
      </c>
      <c r="D38" s="8" t="s">
        <v>188</v>
      </c>
      <c r="E38" s="8" t="s">
        <v>189</v>
      </c>
      <c r="F38" s="7" t="s">
        <v>50</v>
      </c>
      <c r="G38" s="9" t="s">
        <v>51</v>
      </c>
      <c r="H38" s="10"/>
      <c r="I38" s="11"/>
    </row>
    <row r="39" customFormat="false" ht="23.85" hidden="false" customHeight="false" outlineLevel="0" collapsed="false">
      <c r="A39" s="7" t="s">
        <v>190</v>
      </c>
      <c r="B39" s="8" t="s">
        <v>186</v>
      </c>
      <c r="C39" s="8" t="s">
        <v>191</v>
      </c>
      <c r="D39" s="8" t="s">
        <v>192</v>
      </c>
      <c r="E39" s="8" t="s">
        <v>193</v>
      </c>
      <c r="F39" s="7" t="s">
        <v>50</v>
      </c>
      <c r="G39" s="9" t="s">
        <v>51</v>
      </c>
      <c r="H39" s="10"/>
      <c r="I39" s="11"/>
    </row>
    <row r="40" customFormat="false" ht="23.85" hidden="false" customHeight="false" outlineLevel="0" collapsed="false">
      <c r="A40" s="7" t="s">
        <v>194</v>
      </c>
      <c r="B40" s="8" t="s">
        <v>186</v>
      </c>
      <c r="C40" s="8" t="s">
        <v>195</v>
      </c>
      <c r="D40" s="8" t="s">
        <v>196</v>
      </c>
      <c r="E40" s="8" t="s">
        <v>197</v>
      </c>
      <c r="F40" s="7" t="s">
        <v>50</v>
      </c>
      <c r="G40" s="9" t="s">
        <v>51</v>
      </c>
      <c r="H40" s="10"/>
      <c r="I40" s="11"/>
    </row>
    <row r="41" customFormat="false" ht="23.85" hidden="false" customHeight="false" outlineLevel="0" collapsed="false">
      <c r="A41" s="7" t="s">
        <v>198</v>
      </c>
      <c r="B41" s="8" t="s">
        <v>186</v>
      </c>
      <c r="C41" s="8" t="s">
        <v>199</v>
      </c>
      <c r="D41" s="8" t="s">
        <v>200</v>
      </c>
      <c r="E41" s="8" t="s">
        <v>201</v>
      </c>
      <c r="F41" s="7" t="s">
        <v>50</v>
      </c>
      <c r="G41" s="9" t="s">
        <v>51</v>
      </c>
      <c r="H41" s="10"/>
      <c r="I41" s="11"/>
    </row>
    <row r="42" customFormat="false" ht="23.85" hidden="false" customHeight="false" outlineLevel="0" collapsed="false">
      <c r="A42" s="7" t="s">
        <v>202</v>
      </c>
      <c r="B42" s="8" t="s">
        <v>186</v>
      </c>
      <c r="C42" s="8" t="s">
        <v>203</v>
      </c>
      <c r="D42" s="8" t="s">
        <v>204</v>
      </c>
      <c r="E42" s="8" t="s">
        <v>205</v>
      </c>
      <c r="F42" s="7" t="s">
        <v>50</v>
      </c>
      <c r="G42" s="9" t="s">
        <v>51</v>
      </c>
      <c r="H42" s="10"/>
      <c r="I42" s="11"/>
    </row>
    <row r="43" customFormat="false" ht="15" hidden="false" customHeight="false" outlineLevel="0" collapsed="false">
      <c r="A43" s="7" t="s">
        <v>206</v>
      </c>
      <c r="B43" s="8" t="s">
        <v>186</v>
      </c>
      <c r="C43" s="8" t="s">
        <v>207</v>
      </c>
      <c r="D43" s="8" t="s">
        <v>208</v>
      </c>
      <c r="E43" s="8" t="s">
        <v>209</v>
      </c>
      <c r="F43" s="7" t="s">
        <v>64</v>
      </c>
      <c r="G43" s="9" t="s">
        <v>51</v>
      </c>
      <c r="H43" s="10"/>
      <c r="I43" s="11"/>
    </row>
    <row r="44" customFormat="false" ht="35.05" hidden="false" customHeight="false" outlineLevel="0" collapsed="false">
      <c r="A44" s="7" t="s">
        <v>210</v>
      </c>
      <c r="B44" s="8" t="s">
        <v>186</v>
      </c>
      <c r="C44" s="8" t="s">
        <v>211</v>
      </c>
      <c r="D44" s="8" t="s">
        <v>212</v>
      </c>
      <c r="E44" s="8" t="s">
        <v>213</v>
      </c>
      <c r="F44" s="7" t="s">
        <v>77</v>
      </c>
      <c r="G44" s="9" t="s">
        <v>51</v>
      </c>
      <c r="H44" s="10"/>
      <c r="I44" s="11"/>
    </row>
    <row r="45" customFormat="false" ht="15" hidden="false" customHeight="false" outlineLevel="0" collapsed="false">
      <c r="A45" s="7" t="s">
        <v>214</v>
      </c>
      <c r="B45" s="8" t="s">
        <v>215</v>
      </c>
      <c r="C45" s="8" t="s">
        <v>216</v>
      </c>
      <c r="D45" s="8" t="s">
        <v>217</v>
      </c>
      <c r="E45" s="8" t="s">
        <v>218</v>
      </c>
      <c r="F45" s="7" t="s">
        <v>50</v>
      </c>
      <c r="G45" s="9" t="s">
        <v>51</v>
      </c>
      <c r="H45" s="10"/>
      <c r="I45" s="11"/>
    </row>
    <row r="46" customFormat="false" ht="23.85" hidden="false" customHeight="false" outlineLevel="0" collapsed="false">
      <c r="A46" s="7" t="s">
        <v>219</v>
      </c>
      <c r="B46" s="8" t="s">
        <v>215</v>
      </c>
      <c r="C46" s="8" t="s">
        <v>220</v>
      </c>
      <c r="D46" s="8" t="s">
        <v>221</v>
      </c>
      <c r="E46" s="8" t="s">
        <v>222</v>
      </c>
      <c r="F46" s="7" t="s">
        <v>50</v>
      </c>
      <c r="G46" s="9" t="s">
        <v>51</v>
      </c>
      <c r="H46" s="10"/>
      <c r="I46" s="11"/>
    </row>
    <row r="47" customFormat="false" ht="23.85" hidden="false" customHeight="false" outlineLevel="0" collapsed="false">
      <c r="A47" s="7" t="s">
        <v>223</v>
      </c>
      <c r="B47" s="8" t="s">
        <v>215</v>
      </c>
      <c r="C47" s="8" t="s">
        <v>224</v>
      </c>
      <c r="D47" s="8" t="s">
        <v>225</v>
      </c>
      <c r="E47" s="8" t="s">
        <v>226</v>
      </c>
      <c r="F47" s="7" t="s">
        <v>50</v>
      </c>
      <c r="G47" s="9" t="s">
        <v>51</v>
      </c>
      <c r="H47" s="10"/>
      <c r="I47" s="11"/>
    </row>
    <row r="48" customFormat="false" ht="23.85" hidden="false" customHeight="false" outlineLevel="0" collapsed="false">
      <c r="A48" s="7" t="s">
        <v>227</v>
      </c>
      <c r="B48" s="8" t="s">
        <v>215</v>
      </c>
      <c r="C48" s="8" t="s">
        <v>228</v>
      </c>
      <c r="D48" s="8" t="s">
        <v>229</v>
      </c>
      <c r="E48" s="8" t="s">
        <v>230</v>
      </c>
      <c r="F48" s="7" t="s">
        <v>50</v>
      </c>
      <c r="G48" s="9" t="s">
        <v>51</v>
      </c>
      <c r="H48" s="10"/>
      <c r="I48" s="11"/>
    </row>
    <row r="49" customFormat="false" ht="15" hidden="false" customHeight="false" outlineLevel="0" collapsed="false">
      <c r="A49" s="7" t="s">
        <v>231</v>
      </c>
      <c r="B49" s="8" t="s">
        <v>215</v>
      </c>
      <c r="C49" s="8" t="s">
        <v>232</v>
      </c>
      <c r="D49" s="8" t="s">
        <v>233</v>
      </c>
      <c r="E49" s="8" t="s">
        <v>234</v>
      </c>
      <c r="F49" s="7" t="s">
        <v>50</v>
      </c>
      <c r="G49" s="9" t="s">
        <v>51</v>
      </c>
      <c r="H49" s="10"/>
      <c r="I49" s="11"/>
    </row>
    <row r="50" customFormat="false" ht="23.85" hidden="false" customHeight="false" outlineLevel="0" collapsed="false">
      <c r="A50" s="7" t="s">
        <v>235</v>
      </c>
      <c r="B50" s="8" t="s">
        <v>215</v>
      </c>
      <c r="C50" s="8" t="s">
        <v>236</v>
      </c>
      <c r="D50" s="8" t="s">
        <v>237</v>
      </c>
      <c r="E50" s="8" t="s">
        <v>238</v>
      </c>
      <c r="F50" s="7" t="s">
        <v>50</v>
      </c>
      <c r="G50" s="9" t="s">
        <v>51</v>
      </c>
      <c r="H50" s="10"/>
      <c r="I50" s="11"/>
    </row>
    <row r="51" customFormat="false" ht="23.85" hidden="false" customHeight="false" outlineLevel="0" collapsed="false">
      <c r="A51" s="7" t="s">
        <v>239</v>
      </c>
      <c r="B51" s="8" t="s">
        <v>215</v>
      </c>
      <c r="C51" s="8" t="s">
        <v>240</v>
      </c>
      <c r="D51" s="8" t="s">
        <v>241</v>
      </c>
      <c r="E51" s="8" t="s">
        <v>242</v>
      </c>
      <c r="F51" s="7" t="s">
        <v>64</v>
      </c>
      <c r="G51" s="9" t="s">
        <v>51</v>
      </c>
      <c r="H51" s="10"/>
      <c r="I51" s="11"/>
    </row>
    <row r="52" customFormat="false" ht="15" hidden="false" customHeight="false" outlineLevel="0" collapsed="false">
      <c r="A52" s="7" t="s">
        <v>243</v>
      </c>
      <c r="B52" s="8" t="s">
        <v>215</v>
      </c>
      <c r="C52" s="8" t="s">
        <v>244</v>
      </c>
      <c r="D52" s="8" t="s">
        <v>245</v>
      </c>
      <c r="E52" s="8" t="s">
        <v>246</v>
      </c>
      <c r="F52" s="7" t="s">
        <v>64</v>
      </c>
      <c r="G52" s="9" t="s">
        <v>51</v>
      </c>
      <c r="H52" s="10"/>
      <c r="I52" s="11"/>
    </row>
    <row r="53" customFormat="false" ht="15" hidden="false" customHeight="false" outlineLevel="0" collapsed="false">
      <c r="A53" s="7" t="s">
        <v>247</v>
      </c>
      <c r="B53" s="8" t="s">
        <v>215</v>
      </c>
      <c r="C53" s="8" t="s">
        <v>248</v>
      </c>
      <c r="D53" s="8" t="s">
        <v>249</v>
      </c>
      <c r="E53" s="8" t="s">
        <v>250</v>
      </c>
      <c r="F53" s="7" t="s">
        <v>50</v>
      </c>
      <c r="G53" s="9" t="s">
        <v>51</v>
      </c>
      <c r="H53" s="10"/>
      <c r="I53" s="11"/>
    </row>
    <row r="54" customFormat="false" ht="15" hidden="false" customHeight="false" outlineLevel="0" collapsed="false">
      <c r="A54" s="7" t="s">
        <v>251</v>
      </c>
      <c r="B54" s="8" t="s">
        <v>215</v>
      </c>
      <c r="C54" s="8" t="s">
        <v>252</v>
      </c>
      <c r="D54" s="8" t="s">
        <v>253</v>
      </c>
      <c r="E54" s="8" t="s">
        <v>254</v>
      </c>
      <c r="F54" s="7" t="s">
        <v>64</v>
      </c>
      <c r="G54" s="9" t="s">
        <v>51</v>
      </c>
      <c r="H54" s="10"/>
      <c r="I54" s="11"/>
    </row>
    <row r="55" customFormat="false" ht="15" hidden="false" customHeight="false" outlineLevel="0" collapsed="false">
      <c r="A55" s="7" t="s">
        <v>255</v>
      </c>
      <c r="B55" s="8" t="s">
        <v>215</v>
      </c>
      <c r="C55" s="8" t="s">
        <v>256</v>
      </c>
      <c r="D55" s="8" t="s">
        <v>257</v>
      </c>
      <c r="E55" s="8" t="s">
        <v>258</v>
      </c>
      <c r="F55" s="7" t="s">
        <v>64</v>
      </c>
      <c r="G55" s="9" t="s">
        <v>51</v>
      </c>
      <c r="H55" s="10"/>
      <c r="I55" s="11"/>
    </row>
    <row r="56" customFormat="false" ht="23.85" hidden="false" customHeight="false" outlineLevel="0" collapsed="false">
      <c r="A56" s="7" t="s">
        <v>259</v>
      </c>
      <c r="B56" s="8" t="s">
        <v>215</v>
      </c>
      <c r="C56" s="8" t="s">
        <v>260</v>
      </c>
      <c r="D56" s="8" t="s">
        <v>261</v>
      </c>
      <c r="E56" s="8" t="s">
        <v>262</v>
      </c>
      <c r="F56" s="7" t="s">
        <v>64</v>
      </c>
      <c r="G56" s="9" t="s">
        <v>51</v>
      </c>
      <c r="H56" s="10"/>
      <c r="I56" s="11"/>
    </row>
    <row r="57" customFormat="false" ht="23.85" hidden="false" customHeight="false" outlineLevel="0" collapsed="false">
      <c r="A57" s="7" t="s">
        <v>263</v>
      </c>
      <c r="B57" s="8" t="s">
        <v>215</v>
      </c>
      <c r="C57" s="8" t="s">
        <v>264</v>
      </c>
      <c r="D57" s="8" t="s">
        <v>265</v>
      </c>
      <c r="E57" s="8" t="s">
        <v>266</v>
      </c>
      <c r="F57" s="7" t="s">
        <v>50</v>
      </c>
      <c r="G57" s="9" t="s">
        <v>51</v>
      </c>
      <c r="H57" s="10"/>
      <c r="I57" s="11"/>
    </row>
    <row r="58" customFormat="false" ht="23.85" hidden="false" customHeight="false" outlineLevel="0" collapsed="false">
      <c r="A58" s="7" t="s">
        <v>267</v>
      </c>
      <c r="B58" s="8" t="s">
        <v>268</v>
      </c>
      <c r="C58" s="8" t="s">
        <v>269</v>
      </c>
      <c r="D58" s="8" t="s">
        <v>270</v>
      </c>
      <c r="E58" s="8" t="s">
        <v>271</v>
      </c>
      <c r="F58" s="7" t="s">
        <v>50</v>
      </c>
      <c r="G58" s="9" t="s">
        <v>51</v>
      </c>
      <c r="H58" s="10"/>
      <c r="I58" s="11"/>
    </row>
    <row r="59" customFormat="false" ht="23.85" hidden="false" customHeight="false" outlineLevel="0" collapsed="false">
      <c r="A59" s="7" t="s">
        <v>272</v>
      </c>
      <c r="B59" s="8" t="s">
        <v>268</v>
      </c>
      <c r="C59" s="8" t="s">
        <v>273</v>
      </c>
      <c r="D59" s="8" t="s">
        <v>274</v>
      </c>
      <c r="E59" s="8" t="s">
        <v>275</v>
      </c>
      <c r="F59" s="7" t="s">
        <v>50</v>
      </c>
      <c r="G59" s="9" t="s">
        <v>51</v>
      </c>
      <c r="H59" s="10"/>
      <c r="I59" s="11"/>
    </row>
    <row r="60" customFormat="false" ht="23.85" hidden="false" customHeight="false" outlineLevel="0" collapsed="false">
      <c r="A60" s="7" t="s">
        <v>276</v>
      </c>
      <c r="B60" s="8" t="s">
        <v>268</v>
      </c>
      <c r="C60" s="8" t="s">
        <v>277</v>
      </c>
      <c r="D60" s="8" t="s">
        <v>278</v>
      </c>
      <c r="E60" s="8" t="s">
        <v>279</v>
      </c>
      <c r="F60" s="7" t="s">
        <v>64</v>
      </c>
      <c r="G60" s="9" t="s">
        <v>51</v>
      </c>
      <c r="H60" s="10"/>
      <c r="I60" s="11"/>
    </row>
    <row r="61" customFormat="false" ht="15" hidden="false" customHeight="false" outlineLevel="0" collapsed="false">
      <c r="A61" s="7" t="s">
        <v>280</v>
      </c>
      <c r="B61" s="8" t="s">
        <v>268</v>
      </c>
      <c r="C61" s="8" t="s">
        <v>281</v>
      </c>
      <c r="D61" s="8" t="s">
        <v>282</v>
      </c>
      <c r="E61" s="8" t="s">
        <v>283</v>
      </c>
      <c r="F61" s="7" t="s">
        <v>64</v>
      </c>
      <c r="G61" s="9" t="s">
        <v>51</v>
      </c>
      <c r="H61" s="10"/>
      <c r="I61" s="11"/>
    </row>
    <row r="62" customFormat="false" ht="23.85" hidden="false" customHeight="false" outlineLevel="0" collapsed="false">
      <c r="A62" s="7" t="s">
        <v>284</v>
      </c>
      <c r="B62" s="8" t="s">
        <v>268</v>
      </c>
      <c r="C62" s="8" t="s">
        <v>285</v>
      </c>
      <c r="D62" s="8" t="s">
        <v>286</v>
      </c>
      <c r="E62" s="8" t="s">
        <v>287</v>
      </c>
      <c r="F62" s="7" t="s">
        <v>50</v>
      </c>
      <c r="G62" s="9" t="s">
        <v>51</v>
      </c>
      <c r="H62" s="10"/>
      <c r="I62" s="11"/>
    </row>
    <row r="63" customFormat="false" ht="15" hidden="false" customHeight="false" outlineLevel="0" collapsed="false">
      <c r="A63" s="7" t="s">
        <v>288</v>
      </c>
      <c r="B63" s="8" t="s">
        <v>268</v>
      </c>
      <c r="C63" s="8" t="s">
        <v>289</v>
      </c>
      <c r="D63" s="8" t="s">
        <v>290</v>
      </c>
      <c r="E63" s="8" t="s">
        <v>291</v>
      </c>
      <c r="F63" s="7" t="s">
        <v>50</v>
      </c>
      <c r="G63" s="9" t="s">
        <v>51</v>
      </c>
      <c r="H63" s="10"/>
      <c r="I63" s="11"/>
    </row>
    <row r="64" customFormat="false" ht="23.85" hidden="false" customHeight="false" outlineLevel="0" collapsed="false">
      <c r="A64" s="7" t="s">
        <v>292</v>
      </c>
      <c r="B64" s="8" t="s">
        <v>268</v>
      </c>
      <c r="C64" s="8" t="s">
        <v>293</v>
      </c>
      <c r="D64" s="8" t="s">
        <v>294</v>
      </c>
      <c r="E64" s="8" t="s">
        <v>295</v>
      </c>
      <c r="F64" s="7" t="s">
        <v>50</v>
      </c>
      <c r="G64" s="9" t="s">
        <v>51</v>
      </c>
      <c r="H64" s="10"/>
      <c r="I64" s="11"/>
    </row>
    <row r="65" customFormat="false" ht="15" hidden="false" customHeight="false" outlineLevel="0" collapsed="false">
      <c r="A65" s="7" t="s">
        <v>296</v>
      </c>
      <c r="B65" s="8" t="s">
        <v>268</v>
      </c>
      <c r="C65" s="8" t="s">
        <v>297</v>
      </c>
      <c r="D65" s="8" t="s">
        <v>298</v>
      </c>
      <c r="E65" s="8" t="s">
        <v>299</v>
      </c>
      <c r="F65" s="7" t="s">
        <v>77</v>
      </c>
      <c r="G65" s="9" t="s">
        <v>51</v>
      </c>
      <c r="H65" s="10"/>
      <c r="I65" s="11"/>
    </row>
    <row r="66" customFormat="false" ht="15" hidden="false" customHeight="false" outlineLevel="0" collapsed="false">
      <c r="A66" s="7" t="s">
        <v>300</v>
      </c>
      <c r="B66" s="8" t="s">
        <v>268</v>
      </c>
      <c r="C66" s="8" t="s">
        <v>301</v>
      </c>
      <c r="D66" s="8" t="s">
        <v>302</v>
      </c>
      <c r="E66" s="8" t="s">
        <v>303</v>
      </c>
      <c r="F66" s="7" t="s">
        <v>64</v>
      </c>
      <c r="G66" s="9" t="s">
        <v>51</v>
      </c>
      <c r="H66" s="10"/>
      <c r="I66" s="11"/>
    </row>
    <row r="67" customFormat="false" ht="23.85" hidden="false" customHeight="false" outlineLevel="0" collapsed="false">
      <c r="A67" s="7" t="s">
        <v>304</v>
      </c>
      <c r="B67" s="8" t="s">
        <v>268</v>
      </c>
      <c r="C67" s="8" t="s">
        <v>305</v>
      </c>
      <c r="D67" s="8" t="s">
        <v>306</v>
      </c>
      <c r="E67" s="8" t="s">
        <v>307</v>
      </c>
      <c r="F67" s="7" t="s">
        <v>64</v>
      </c>
      <c r="G67" s="9" t="s">
        <v>51</v>
      </c>
      <c r="H67" s="10"/>
      <c r="I67" s="11"/>
    </row>
    <row r="68" customFormat="false" ht="15" hidden="false" customHeight="false" outlineLevel="0" collapsed="false">
      <c r="A68" s="7" t="s">
        <v>308</v>
      </c>
      <c r="B68" s="8" t="s">
        <v>268</v>
      </c>
      <c r="C68" s="8" t="s">
        <v>309</v>
      </c>
      <c r="D68" s="8" t="s">
        <v>310</v>
      </c>
      <c r="E68" s="8" t="s">
        <v>311</v>
      </c>
      <c r="F68" s="7" t="s">
        <v>64</v>
      </c>
      <c r="G68" s="9" t="s">
        <v>51</v>
      </c>
      <c r="H68" s="10"/>
      <c r="I68" s="11"/>
    </row>
    <row r="69" customFormat="false" ht="15" hidden="false" customHeight="false" outlineLevel="0" collapsed="false">
      <c r="A69" s="7" t="s">
        <v>312</v>
      </c>
      <c r="B69" s="8" t="s">
        <v>268</v>
      </c>
      <c r="C69" s="8" t="s">
        <v>313</v>
      </c>
      <c r="D69" s="8" t="s">
        <v>314</v>
      </c>
      <c r="E69" s="8" t="s">
        <v>315</v>
      </c>
      <c r="F69" s="7" t="s">
        <v>77</v>
      </c>
      <c r="G69" s="9" t="s">
        <v>51</v>
      </c>
      <c r="H69" s="10"/>
      <c r="I69" s="11"/>
    </row>
    <row r="70" customFormat="false" ht="15" hidden="false" customHeight="false" outlineLevel="0" collapsed="false">
      <c r="A70" s="7" t="s">
        <v>316</v>
      </c>
      <c r="B70" s="8" t="s">
        <v>317</v>
      </c>
      <c r="C70" s="8" t="s">
        <v>318</v>
      </c>
      <c r="D70" s="8" t="s">
        <v>319</v>
      </c>
      <c r="E70" s="8" t="s">
        <v>320</v>
      </c>
      <c r="F70" s="7" t="s">
        <v>50</v>
      </c>
      <c r="G70" s="9" t="s">
        <v>51</v>
      </c>
      <c r="H70" s="10"/>
      <c r="I70" s="11"/>
    </row>
    <row r="71" customFormat="false" ht="23.85" hidden="false" customHeight="false" outlineLevel="0" collapsed="false">
      <c r="A71" s="7" t="s">
        <v>321</v>
      </c>
      <c r="B71" s="8" t="s">
        <v>317</v>
      </c>
      <c r="C71" s="8" t="s">
        <v>322</v>
      </c>
      <c r="D71" s="8" t="s">
        <v>323</v>
      </c>
      <c r="E71" s="8" t="s">
        <v>324</v>
      </c>
      <c r="F71" s="7" t="s">
        <v>50</v>
      </c>
      <c r="G71" s="9" t="s">
        <v>51</v>
      </c>
      <c r="H71" s="10"/>
      <c r="I71" s="11"/>
    </row>
    <row r="72" customFormat="false" ht="23.85" hidden="false" customHeight="false" outlineLevel="0" collapsed="false">
      <c r="A72" s="7" t="s">
        <v>325</v>
      </c>
      <c r="B72" s="8" t="s">
        <v>317</v>
      </c>
      <c r="C72" s="8" t="s">
        <v>326</v>
      </c>
      <c r="D72" s="8" t="s">
        <v>327</v>
      </c>
      <c r="E72" s="8" t="s">
        <v>328</v>
      </c>
      <c r="F72" s="7" t="s">
        <v>50</v>
      </c>
      <c r="G72" s="9" t="s">
        <v>51</v>
      </c>
      <c r="H72" s="10"/>
      <c r="I72" s="11"/>
    </row>
    <row r="73" customFormat="false" ht="23.85" hidden="false" customHeight="false" outlineLevel="0" collapsed="false">
      <c r="A73" s="7" t="s">
        <v>329</v>
      </c>
      <c r="B73" s="8" t="s">
        <v>317</v>
      </c>
      <c r="C73" s="8" t="s">
        <v>330</v>
      </c>
      <c r="D73" s="8" t="s">
        <v>331</v>
      </c>
      <c r="E73" s="8" t="s">
        <v>332</v>
      </c>
      <c r="F73" s="7" t="s">
        <v>50</v>
      </c>
      <c r="G73" s="9" t="s">
        <v>51</v>
      </c>
      <c r="H73" s="10"/>
      <c r="I73" s="11"/>
    </row>
    <row r="74" customFormat="false" ht="23.85" hidden="false" customHeight="false" outlineLevel="0" collapsed="false">
      <c r="A74" s="7" t="s">
        <v>333</v>
      </c>
      <c r="B74" s="8" t="s">
        <v>317</v>
      </c>
      <c r="C74" s="8" t="s">
        <v>334</v>
      </c>
      <c r="D74" s="8" t="s">
        <v>335</v>
      </c>
      <c r="E74" s="8" t="s">
        <v>336</v>
      </c>
      <c r="F74" s="7" t="s">
        <v>64</v>
      </c>
      <c r="G74" s="9" t="s">
        <v>51</v>
      </c>
      <c r="H74" s="10"/>
      <c r="I74" s="11"/>
    </row>
    <row r="75" customFormat="false" ht="23.85" hidden="false" customHeight="false" outlineLevel="0" collapsed="false">
      <c r="A75" s="7" t="s">
        <v>337</v>
      </c>
      <c r="B75" s="8" t="s">
        <v>317</v>
      </c>
      <c r="C75" s="8" t="s">
        <v>338</v>
      </c>
      <c r="D75" s="8" t="s">
        <v>339</v>
      </c>
      <c r="E75" s="8" t="s">
        <v>340</v>
      </c>
      <c r="F75" s="7" t="s">
        <v>64</v>
      </c>
      <c r="G75" s="9" t="s">
        <v>51</v>
      </c>
      <c r="H75" s="10"/>
      <c r="I75" s="11"/>
    </row>
    <row r="76" customFormat="false" ht="15" hidden="false" customHeight="false" outlineLevel="0" collapsed="false">
      <c r="A76" s="7" t="s">
        <v>341</v>
      </c>
      <c r="B76" s="8" t="s">
        <v>317</v>
      </c>
      <c r="C76" s="8" t="s">
        <v>342</v>
      </c>
      <c r="D76" s="8" t="s">
        <v>343</v>
      </c>
      <c r="E76" s="8" t="s">
        <v>344</v>
      </c>
      <c r="F76" s="7" t="s">
        <v>50</v>
      </c>
      <c r="G76" s="9" t="s">
        <v>51</v>
      </c>
      <c r="H76" s="10"/>
      <c r="I76" s="11"/>
    </row>
    <row r="77" customFormat="false" ht="23.85" hidden="false" customHeight="false" outlineLevel="0" collapsed="false">
      <c r="A77" s="7" t="s">
        <v>345</v>
      </c>
      <c r="B77" s="8" t="s">
        <v>317</v>
      </c>
      <c r="C77" s="8" t="s">
        <v>346</v>
      </c>
      <c r="D77" s="8" t="s">
        <v>347</v>
      </c>
      <c r="E77" s="8" t="s">
        <v>348</v>
      </c>
      <c r="F77" s="7" t="s">
        <v>64</v>
      </c>
      <c r="G77" s="9" t="s">
        <v>51</v>
      </c>
      <c r="H77" s="10"/>
      <c r="I77" s="11"/>
    </row>
    <row r="78" customFormat="false" ht="23.85" hidden="false" customHeight="false" outlineLevel="0" collapsed="false">
      <c r="A78" s="7" t="s">
        <v>349</v>
      </c>
      <c r="B78" s="8" t="s">
        <v>317</v>
      </c>
      <c r="C78" s="8" t="s">
        <v>350</v>
      </c>
      <c r="D78" s="8" t="s">
        <v>351</v>
      </c>
      <c r="E78" s="8" t="s">
        <v>352</v>
      </c>
      <c r="F78" s="7" t="s">
        <v>77</v>
      </c>
      <c r="G78" s="9" t="s">
        <v>51</v>
      </c>
      <c r="H78" s="10"/>
      <c r="I78" s="11"/>
    </row>
    <row r="79" customFormat="false" ht="23.85" hidden="false" customHeight="false" outlineLevel="0" collapsed="false">
      <c r="A79" s="7" t="s">
        <v>353</v>
      </c>
      <c r="B79" s="8" t="s">
        <v>317</v>
      </c>
      <c r="C79" s="8" t="s">
        <v>354</v>
      </c>
      <c r="D79" s="8" t="s">
        <v>355</v>
      </c>
      <c r="E79" s="8" t="s">
        <v>356</v>
      </c>
      <c r="F79" s="7" t="s">
        <v>77</v>
      </c>
      <c r="G79" s="9" t="s">
        <v>51</v>
      </c>
      <c r="H79" s="10"/>
      <c r="I79" s="11"/>
    </row>
    <row r="80" customFormat="false" ht="23.85" hidden="false" customHeight="false" outlineLevel="0" collapsed="false">
      <c r="A80" s="7" t="s">
        <v>357</v>
      </c>
      <c r="B80" s="8" t="s">
        <v>317</v>
      </c>
      <c r="C80" s="8" t="s">
        <v>358</v>
      </c>
      <c r="D80" s="8" t="s">
        <v>359</v>
      </c>
      <c r="E80" s="8" t="s">
        <v>360</v>
      </c>
      <c r="F80" s="7" t="s">
        <v>77</v>
      </c>
      <c r="G80" s="9" t="s">
        <v>51</v>
      </c>
      <c r="H80" s="10"/>
      <c r="I80" s="11"/>
    </row>
    <row r="81" customFormat="false" ht="23.85" hidden="false" customHeight="false" outlineLevel="0" collapsed="false">
      <c r="A81" s="7" t="s">
        <v>361</v>
      </c>
      <c r="B81" s="8" t="s">
        <v>362</v>
      </c>
      <c r="C81" s="8" t="s">
        <v>363</v>
      </c>
      <c r="D81" s="8" t="s">
        <v>364</v>
      </c>
      <c r="E81" s="8" t="s">
        <v>365</v>
      </c>
      <c r="F81" s="7" t="s">
        <v>50</v>
      </c>
      <c r="G81" s="9" t="s">
        <v>51</v>
      </c>
      <c r="H81" s="10"/>
      <c r="I81" s="11"/>
    </row>
    <row r="82" customFormat="false" ht="23.85" hidden="false" customHeight="false" outlineLevel="0" collapsed="false">
      <c r="A82" s="7" t="s">
        <v>366</v>
      </c>
      <c r="B82" s="8" t="s">
        <v>362</v>
      </c>
      <c r="C82" s="8" t="s">
        <v>367</v>
      </c>
      <c r="D82" s="8" t="s">
        <v>368</v>
      </c>
      <c r="E82" s="8" t="s">
        <v>369</v>
      </c>
      <c r="F82" s="7" t="s">
        <v>50</v>
      </c>
      <c r="G82" s="9" t="s">
        <v>51</v>
      </c>
      <c r="H82" s="10"/>
      <c r="I82" s="11"/>
    </row>
    <row r="83" customFormat="false" ht="23.85" hidden="false" customHeight="false" outlineLevel="0" collapsed="false">
      <c r="A83" s="7" t="s">
        <v>370</v>
      </c>
      <c r="B83" s="8" t="s">
        <v>362</v>
      </c>
      <c r="C83" s="8" t="s">
        <v>371</v>
      </c>
      <c r="D83" s="8" t="s">
        <v>372</v>
      </c>
      <c r="E83" s="8" t="s">
        <v>373</v>
      </c>
      <c r="F83" s="7" t="s">
        <v>50</v>
      </c>
      <c r="G83" s="9" t="s">
        <v>51</v>
      </c>
      <c r="H83" s="10"/>
      <c r="I83" s="11"/>
    </row>
    <row r="84" customFormat="false" ht="15" hidden="false" customHeight="false" outlineLevel="0" collapsed="false">
      <c r="A84" s="7" t="s">
        <v>374</v>
      </c>
      <c r="B84" s="8" t="s">
        <v>362</v>
      </c>
      <c r="C84" s="8" t="s">
        <v>375</v>
      </c>
      <c r="D84" s="8" t="s">
        <v>376</v>
      </c>
      <c r="E84" s="8" t="s">
        <v>377</v>
      </c>
      <c r="F84" s="7" t="s">
        <v>64</v>
      </c>
      <c r="G84" s="9" t="s">
        <v>51</v>
      </c>
      <c r="H84" s="10"/>
      <c r="I84" s="11"/>
    </row>
    <row r="85" customFormat="false" ht="35.05" hidden="false" customHeight="false" outlineLevel="0" collapsed="false">
      <c r="A85" s="7" t="s">
        <v>378</v>
      </c>
      <c r="B85" s="8" t="s">
        <v>362</v>
      </c>
      <c r="C85" s="8" t="s">
        <v>379</v>
      </c>
      <c r="D85" s="8" t="s">
        <v>380</v>
      </c>
      <c r="E85" s="8" t="s">
        <v>381</v>
      </c>
      <c r="F85" s="7" t="s">
        <v>64</v>
      </c>
      <c r="G85" s="9" t="s">
        <v>51</v>
      </c>
      <c r="H85" s="10"/>
      <c r="I85" s="11"/>
    </row>
    <row r="86" customFormat="false" ht="15" hidden="false" customHeight="false" outlineLevel="0" collapsed="false">
      <c r="A86" s="7" t="s">
        <v>382</v>
      </c>
      <c r="B86" s="8" t="s">
        <v>362</v>
      </c>
      <c r="C86" s="8" t="s">
        <v>383</v>
      </c>
      <c r="D86" s="8" t="s">
        <v>384</v>
      </c>
      <c r="E86" s="8" t="s">
        <v>385</v>
      </c>
      <c r="F86" s="7" t="s">
        <v>64</v>
      </c>
      <c r="G86" s="9" t="s">
        <v>51</v>
      </c>
      <c r="H86" s="10"/>
      <c r="I86" s="11"/>
    </row>
    <row r="87" customFormat="false" ht="23.85" hidden="false" customHeight="false" outlineLevel="0" collapsed="false">
      <c r="A87" s="7" t="s">
        <v>386</v>
      </c>
      <c r="B87" s="8" t="s">
        <v>362</v>
      </c>
      <c r="C87" s="8" t="s">
        <v>387</v>
      </c>
      <c r="D87" s="8" t="s">
        <v>388</v>
      </c>
      <c r="E87" s="8" t="s">
        <v>389</v>
      </c>
      <c r="F87" s="7" t="s">
        <v>50</v>
      </c>
      <c r="G87" s="9" t="s">
        <v>51</v>
      </c>
      <c r="H87" s="10"/>
      <c r="I87" s="11"/>
    </row>
    <row r="88" customFormat="false" ht="23.85" hidden="false" customHeight="false" outlineLevel="0" collapsed="false">
      <c r="A88" s="7" t="s">
        <v>390</v>
      </c>
      <c r="B88" s="8" t="s">
        <v>362</v>
      </c>
      <c r="C88" s="8" t="s">
        <v>391</v>
      </c>
      <c r="D88" s="8" t="s">
        <v>392</v>
      </c>
      <c r="E88" s="8" t="s">
        <v>393</v>
      </c>
      <c r="F88" s="7" t="s">
        <v>64</v>
      </c>
      <c r="G88" s="9" t="s">
        <v>51</v>
      </c>
      <c r="H88" s="10"/>
      <c r="I88" s="11"/>
    </row>
    <row r="89" customFormat="false" ht="15" hidden="false" customHeight="false" outlineLevel="0" collapsed="false">
      <c r="A89" s="7" t="s">
        <v>394</v>
      </c>
      <c r="B89" s="8" t="s">
        <v>362</v>
      </c>
      <c r="C89" s="8" t="s">
        <v>395</v>
      </c>
      <c r="D89" s="8" t="s">
        <v>396</v>
      </c>
      <c r="E89" s="8" t="s">
        <v>397</v>
      </c>
      <c r="F89" s="7" t="s">
        <v>77</v>
      </c>
      <c r="G89" s="9" t="s">
        <v>51</v>
      </c>
      <c r="H89" s="10"/>
      <c r="I89" s="11"/>
    </row>
    <row r="90" customFormat="false" ht="15" hidden="false" customHeight="false" outlineLevel="0" collapsed="false">
      <c r="A90" s="7" t="s">
        <v>398</v>
      </c>
      <c r="B90" s="8" t="s">
        <v>362</v>
      </c>
      <c r="C90" s="8" t="s">
        <v>399</v>
      </c>
      <c r="D90" s="8" t="s">
        <v>400</v>
      </c>
      <c r="E90" s="8" t="s">
        <v>401</v>
      </c>
      <c r="F90" s="7" t="s">
        <v>77</v>
      </c>
      <c r="G90" s="9" t="s">
        <v>51</v>
      </c>
      <c r="H90" s="10"/>
      <c r="I90" s="11"/>
    </row>
    <row r="91" customFormat="false" ht="15" hidden="false" customHeight="false" outlineLevel="0" collapsed="false">
      <c r="A91" s="7" t="s">
        <v>402</v>
      </c>
      <c r="B91" s="8" t="s">
        <v>362</v>
      </c>
      <c r="C91" s="8" t="s">
        <v>403</v>
      </c>
      <c r="D91" s="8" t="s">
        <v>404</v>
      </c>
      <c r="E91" s="8" t="s">
        <v>405</v>
      </c>
      <c r="F91" s="7" t="s">
        <v>64</v>
      </c>
      <c r="G91" s="9" t="s">
        <v>51</v>
      </c>
      <c r="H91" s="10"/>
      <c r="I91" s="11"/>
    </row>
    <row r="92" customFormat="false" ht="15" hidden="false" customHeight="false" outlineLevel="0" collapsed="false">
      <c r="A92" s="7" t="s">
        <v>406</v>
      </c>
      <c r="B92" s="8" t="s">
        <v>362</v>
      </c>
      <c r="C92" s="8" t="s">
        <v>407</v>
      </c>
      <c r="D92" s="8" t="s">
        <v>408</v>
      </c>
      <c r="E92" s="8" t="s">
        <v>409</v>
      </c>
      <c r="F92" s="7" t="s">
        <v>77</v>
      </c>
      <c r="G92" s="9" t="s">
        <v>51</v>
      </c>
      <c r="H92" s="10"/>
      <c r="I92" s="11"/>
    </row>
    <row r="93" customFormat="false" ht="23.85" hidden="false" customHeight="false" outlineLevel="0" collapsed="false">
      <c r="A93" s="7" t="s">
        <v>410</v>
      </c>
      <c r="B93" s="8" t="s">
        <v>411</v>
      </c>
      <c r="C93" s="8" t="s">
        <v>412</v>
      </c>
      <c r="D93" s="8" t="s">
        <v>413</v>
      </c>
      <c r="E93" s="8" t="s">
        <v>414</v>
      </c>
      <c r="F93" s="7" t="s">
        <v>50</v>
      </c>
      <c r="G93" s="9" t="s">
        <v>51</v>
      </c>
      <c r="H93" s="10"/>
      <c r="I93" s="11"/>
    </row>
    <row r="94" customFormat="false" ht="35.05" hidden="false" customHeight="false" outlineLevel="0" collapsed="false">
      <c r="A94" s="7" t="s">
        <v>415</v>
      </c>
      <c r="B94" s="8" t="s">
        <v>411</v>
      </c>
      <c r="C94" s="8" t="s">
        <v>416</v>
      </c>
      <c r="D94" s="8" t="s">
        <v>417</v>
      </c>
      <c r="E94" s="8" t="s">
        <v>418</v>
      </c>
      <c r="F94" s="7" t="s">
        <v>50</v>
      </c>
      <c r="G94" s="9" t="s">
        <v>51</v>
      </c>
      <c r="H94" s="10"/>
      <c r="I94" s="11"/>
    </row>
    <row r="95" customFormat="false" ht="15" hidden="false" customHeight="false" outlineLevel="0" collapsed="false">
      <c r="A95" s="7" t="s">
        <v>419</v>
      </c>
      <c r="B95" s="8" t="s">
        <v>411</v>
      </c>
      <c r="C95" s="8" t="s">
        <v>420</v>
      </c>
      <c r="D95" s="8" t="s">
        <v>421</v>
      </c>
      <c r="E95" s="8" t="s">
        <v>418</v>
      </c>
      <c r="F95" s="7" t="s">
        <v>50</v>
      </c>
      <c r="G95" s="9" t="s">
        <v>51</v>
      </c>
      <c r="H95" s="10"/>
      <c r="I95" s="11"/>
    </row>
    <row r="96" customFormat="false" ht="23.85" hidden="false" customHeight="false" outlineLevel="0" collapsed="false">
      <c r="A96" s="7" t="s">
        <v>422</v>
      </c>
      <c r="B96" s="8" t="s">
        <v>411</v>
      </c>
      <c r="C96" s="8" t="s">
        <v>423</v>
      </c>
      <c r="D96" s="8" t="s">
        <v>424</v>
      </c>
      <c r="E96" s="8" t="s">
        <v>425</v>
      </c>
      <c r="F96" s="7" t="s">
        <v>50</v>
      </c>
      <c r="G96" s="9" t="s">
        <v>51</v>
      </c>
      <c r="H96" s="10"/>
      <c r="I96" s="11"/>
    </row>
    <row r="97" customFormat="false" ht="23.85" hidden="false" customHeight="false" outlineLevel="0" collapsed="false">
      <c r="A97" s="7" t="s">
        <v>426</v>
      </c>
      <c r="B97" s="8" t="s">
        <v>411</v>
      </c>
      <c r="C97" s="8" t="s">
        <v>427</v>
      </c>
      <c r="D97" s="8" t="s">
        <v>428</v>
      </c>
      <c r="E97" s="8" t="s">
        <v>429</v>
      </c>
      <c r="F97" s="7" t="s">
        <v>50</v>
      </c>
      <c r="G97" s="9" t="s">
        <v>51</v>
      </c>
      <c r="H97" s="10"/>
      <c r="I97" s="11"/>
    </row>
    <row r="98" customFormat="false" ht="23.85" hidden="false" customHeight="false" outlineLevel="0" collapsed="false">
      <c r="A98" s="7" t="s">
        <v>430</v>
      </c>
      <c r="B98" s="8" t="s">
        <v>411</v>
      </c>
      <c r="C98" s="8" t="s">
        <v>431</v>
      </c>
      <c r="D98" s="8" t="s">
        <v>432</v>
      </c>
      <c r="E98" s="8" t="s">
        <v>433</v>
      </c>
      <c r="F98" s="7" t="s">
        <v>50</v>
      </c>
      <c r="G98" s="9" t="s">
        <v>51</v>
      </c>
      <c r="H98" s="10"/>
      <c r="I98" s="11"/>
    </row>
    <row r="99" customFormat="false" ht="15" hidden="false" customHeight="false" outlineLevel="0" collapsed="false">
      <c r="A99" s="7" t="s">
        <v>434</v>
      </c>
      <c r="B99" s="8" t="s">
        <v>411</v>
      </c>
      <c r="C99" s="8" t="s">
        <v>435</v>
      </c>
      <c r="D99" s="8" t="s">
        <v>436</v>
      </c>
      <c r="E99" s="8" t="s">
        <v>437</v>
      </c>
      <c r="F99" s="7" t="s">
        <v>64</v>
      </c>
      <c r="G99" s="9" t="s">
        <v>51</v>
      </c>
      <c r="H99" s="10"/>
      <c r="I99" s="11"/>
    </row>
    <row r="100" customFormat="false" ht="23.85" hidden="false" customHeight="false" outlineLevel="0" collapsed="false">
      <c r="A100" s="7" t="s">
        <v>438</v>
      </c>
      <c r="B100" s="8" t="s">
        <v>411</v>
      </c>
      <c r="C100" s="8" t="s">
        <v>439</v>
      </c>
      <c r="D100" s="8" t="s">
        <v>440</v>
      </c>
      <c r="E100" s="8" t="s">
        <v>441</v>
      </c>
      <c r="F100" s="7" t="s">
        <v>77</v>
      </c>
      <c r="G100" s="9" t="s">
        <v>51</v>
      </c>
      <c r="H100" s="10"/>
      <c r="I100" s="11"/>
    </row>
    <row r="101" customFormat="false" ht="15" hidden="false" customHeight="false" outlineLevel="0" collapsed="false">
      <c r="A101" s="7" t="s">
        <v>442</v>
      </c>
      <c r="B101" s="8" t="s">
        <v>443</v>
      </c>
      <c r="C101" s="8" t="s">
        <v>444</v>
      </c>
      <c r="D101" s="8" t="s">
        <v>445</v>
      </c>
      <c r="E101" s="8" t="s">
        <v>446</v>
      </c>
      <c r="F101" s="7" t="s">
        <v>50</v>
      </c>
      <c r="G101" s="9" t="s">
        <v>51</v>
      </c>
      <c r="H101" s="10"/>
      <c r="I101" s="11"/>
    </row>
    <row r="102" customFormat="false" ht="15" hidden="false" customHeight="false" outlineLevel="0" collapsed="false">
      <c r="A102" s="7" t="s">
        <v>447</v>
      </c>
      <c r="B102" s="8" t="s">
        <v>443</v>
      </c>
      <c r="C102" s="8" t="s">
        <v>448</v>
      </c>
      <c r="D102" s="8" t="s">
        <v>449</v>
      </c>
      <c r="E102" s="8" t="s">
        <v>450</v>
      </c>
      <c r="F102" s="7" t="s">
        <v>50</v>
      </c>
      <c r="G102" s="9" t="s">
        <v>51</v>
      </c>
      <c r="H102" s="10"/>
      <c r="I102" s="11"/>
    </row>
    <row r="103" customFormat="false" ht="35.05" hidden="false" customHeight="false" outlineLevel="0" collapsed="false">
      <c r="A103" s="7" t="s">
        <v>451</v>
      </c>
      <c r="B103" s="8" t="s">
        <v>443</v>
      </c>
      <c r="C103" s="8" t="s">
        <v>452</v>
      </c>
      <c r="D103" s="8" t="s">
        <v>453</v>
      </c>
      <c r="E103" s="8" t="s">
        <v>454</v>
      </c>
      <c r="F103" s="7" t="s">
        <v>50</v>
      </c>
      <c r="G103" s="9" t="s">
        <v>51</v>
      </c>
      <c r="H103" s="10"/>
      <c r="I103" s="11"/>
    </row>
    <row r="104" customFormat="false" ht="23.85" hidden="false" customHeight="false" outlineLevel="0" collapsed="false">
      <c r="A104" s="7" t="s">
        <v>455</v>
      </c>
      <c r="B104" s="8" t="s">
        <v>443</v>
      </c>
      <c r="C104" s="8" t="s">
        <v>456</v>
      </c>
      <c r="D104" s="8" t="s">
        <v>457</v>
      </c>
      <c r="E104" s="8" t="s">
        <v>458</v>
      </c>
      <c r="F104" s="7" t="s">
        <v>50</v>
      </c>
      <c r="G104" s="9" t="s">
        <v>51</v>
      </c>
      <c r="H104" s="10"/>
      <c r="I104" s="11"/>
    </row>
    <row r="105" customFormat="false" ht="23.85" hidden="false" customHeight="false" outlineLevel="0" collapsed="false">
      <c r="A105" s="7" t="s">
        <v>459</v>
      </c>
      <c r="B105" s="8" t="s">
        <v>443</v>
      </c>
      <c r="C105" s="8" t="s">
        <v>460</v>
      </c>
      <c r="D105" s="8" t="s">
        <v>461</v>
      </c>
      <c r="E105" s="8" t="s">
        <v>462</v>
      </c>
      <c r="F105" s="7" t="s">
        <v>64</v>
      </c>
      <c r="G105" s="9" t="s">
        <v>51</v>
      </c>
      <c r="H105" s="10"/>
      <c r="I105" s="11"/>
    </row>
    <row r="106" customFormat="false" ht="23.85" hidden="false" customHeight="false" outlineLevel="0" collapsed="false">
      <c r="A106" s="7" t="s">
        <v>463</v>
      </c>
      <c r="B106" s="8" t="s">
        <v>443</v>
      </c>
      <c r="C106" s="8" t="s">
        <v>464</v>
      </c>
      <c r="D106" s="8" t="s">
        <v>465</v>
      </c>
      <c r="E106" s="8" t="s">
        <v>466</v>
      </c>
      <c r="F106" s="7" t="s">
        <v>50</v>
      </c>
      <c r="G106" s="9" t="s">
        <v>51</v>
      </c>
      <c r="H106" s="10"/>
      <c r="I106" s="11"/>
    </row>
    <row r="107" customFormat="false" ht="23.85" hidden="false" customHeight="false" outlineLevel="0" collapsed="false">
      <c r="A107" s="7" t="s">
        <v>467</v>
      </c>
      <c r="B107" s="8" t="s">
        <v>443</v>
      </c>
      <c r="C107" s="8" t="s">
        <v>468</v>
      </c>
      <c r="D107" s="8" t="s">
        <v>469</v>
      </c>
      <c r="E107" s="8" t="s">
        <v>470</v>
      </c>
      <c r="F107" s="7" t="s">
        <v>77</v>
      </c>
      <c r="G107" s="9" t="s">
        <v>51</v>
      </c>
      <c r="H107" s="10"/>
      <c r="I107" s="11"/>
    </row>
  </sheetData>
  <autoFilter ref="A4:I107"/>
  <mergeCells count="1">
    <mergeCell ref="A1:I1"/>
  </mergeCells>
  <conditionalFormatting sqref="G5:G107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Not run, Pass, Fail or Blocked" errorStyle="stop" errorTitle="Status" operator="between" showDropDown="false" showErrorMessage="false" showInputMessage="false" sqref="G5:G107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</cols>
  <sheetData>
    <row r="1" customFormat="false" ht="30" hidden="false" customHeight="true" outlineLevel="0" collapsed="false">
      <c r="A1" s="1" t="s">
        <v>471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6" t="s">
        <v>37</v>
      </c>
      <c r="B3" s="6" t="s">
        <v>472</v>
      </c>
      <c r="C3" s="6" t="s">
        <v>473</v>
      </c>
      <c r="D3" s="6" t="s">
        <v>474</v>
      </c>
      <c r="E3" s="6" t="s">
        <v>475</v>
      </c>
      <c r="F3" s="6" t="s">
        <v>51</v>
      </c>
      <c r="G3" s="6" t="s">
        <v>476</v>
      </c>
    </row>
    <row r="4" customFormat="false" ht="15" hidden="false" customHeight="false" outlineLevel="0" collapsed="false">
      <c r="A4" s="12" t="s">
        <v>46</v>
      </c>
      <c r="B4" s="13" t="n">
        <f aca="false">COUNTIFS('UAT Checklist'!$B$5:$B$107,$A4)</f>
        <v>9</v>
      </c>
      <c r="C4" s="13" t="n">
        <f aca="false">COUNTIFS('UAT Checklist'!$B$5:$B$107,$A4,'UAT Checklist'!$G$5:$G$107,"Pass")</f>
        <v>0</v>
      </c>
      <c r="D4" s="13" t="n">
        <f aca="false">COUNTIFS('UAT Checklist'!$B$5:$B$107,$A4,'UAT Checklist'!$G$5:$G$107,"Fail")</f>
        <v>0</v>
      </c>
      <c r="E4" s="13" t="n">
        <f aca="false">COUNTIFS('UAT Checklist'!$B$5:$B$107,$A4,'UAT Checklist'!$G$5:$G$107,"Blocked")</f>
        <v>0</v>
      </c>
      <c r="F4" s="13" t="n">
        <f aca="false">B4-C4-D4-E4</f>
        <v>9</v>
      </c>
      <c r="G4" s="14" t="n">
        <f aca="false">IF(B4=0,0,C4/B4)</f>
        <v>0</v>
      </c>
    </row>
    <row r="5" customFormat="false" ht="15" hidden="false" customHeight="false" outlineLevel="0" collapsed="false">
      <c r="A5" s="12" t="s">
        <v>87</v>
      </c>
      <c r="B5" s="13" t="n">
        <f aca="false">COUNTIFS('UAT Checklist'!$B$5:$B$107,$A5)</f>
        <v>9</v>
      </c>
      <c r="C5" s="13" t="n">
        <f aca="false">COUNTIFS('UAT Checklist'!$B$5:$B$107,$A5,'UAT Checklist'!$G$5:$G$107,"Pass")</f>
        <v>0</v>
      </c>
      <c r="D5" s="13" t="n">
        <f aca="false">COUNTIFS('UAT Checklist'!$B$5:$B$107,$A5,'UAT Checklist'!$G$5:$G$107,"Fail")</f>
        <v>0</v>
      </c>
      <c r="E5" s="13" t="n">
        <f aca="false">COUNTIFS('UAT Checklist'!$B$5:$B$107,$A5,'UAT Checklist'!$G$5:$G$107,"Blocked")</f>
        <v>0</v>
      </c>
      <c r="F5" s="13" t="n">
        <f aca="false">B5-C5-D5-E5</f>
        <v>9</v>
      </c>
      <c r="G5" s="14" t="n">
        <f aca="false">IF(B5=0,0,C5/B5)</f>
        <v>0</v>
      </c>
    </row>
    <row r="6" customFormat="false" ht="15" hidden="false" customHeight="false" outlineLevel="0" collapsed="false">
      <c r="A6" s="12" t="s">
        <v>124</v>
      </c>
      <c r="B6" s="13" t="n">
        <f aca="false">COUNTIFS('UAT Checklist'!$B$5:$B$107,$A6)</f>
        <v>6</v>
      </c>
      <c r="C6" s="13" t="n">
        <f aca="false">COUNTIFS('UAT Checklist'!$B$5:$B$107,$A6,'UAT Checklist'!$G$5:$G$107,"Pass")</f>
        <v>0</v>
      </c>
      <c r="D6" s="13" t="n">
        <f aca="false">COUNTIFS('UAT Checklist'!$B$5:$B$107,$A6,'UAT Checklist'!$G$5:$G$107,"Fail")</f>
        <v>0</v>
      </c>
      <c r="E6" s="13" t="n">
        <f aca="false">COUNTIFS('UAT Checklist'!$B$5:$B$107,$A6,'UAT Checklist'!$G$5:$G$107,"Blocked")</f>
        <v>0</v>
      </c>
      <c r="F6" s="13" t="n">
        <f aca="false">B6-C6-D6-E6</f>
        <v>6</v>
      </c>
      <c r="G6" s="14" t="n">
        <f aca="false">IF(B6=0,0,C6/B6)</f>
        <v>0</v>
      </c>
    </row>
    <row r="7" customFormat="false" ht="15" hidden="false" customHeight="false" outlineLevel="0" collapsed="false">
      <c r="A7" s="12" t="s">
        <v>149</v>
      </c>
      <c r="B7" s="13" t="n">
        <f aca="false">COUNTIFS('UAT Checklist'!$B$5:$B$107,$A7)</f>
        <v>9</v>
      </c>
      <c r="C7" s="13" t="n">
        <f aca="false">COUNTIFS('UAT Checklist'!$B$5:$B$107,$A7,'UAT Checklist'!$G$5:$G$107,"Pass")</f>
        <v>0</v>
      </c>
      <c r="D7" s="13" t="n">
        <f aca="false">COUNTIFS('UAT Checklist'!$B$5:$B$107,$A7,'UAT Checklist'!$G$5:$G$107,"Fail")</f>
        <v>0</v>
      </c>
      <c r="E7" s="13" t="n">
        <f aca="false">COUNTIFS('UAT Checklist'!$B$5:$B$107,$A7,'UAT Checklist'!$G$5:$G$107,"Blocked")</f>
        <v>0</v>
      </c>
      <c r="F7" s="13" t="n">
        <f aca="false">B7-C7-D7-E7</f>
        <v>9</v>
      </c>
      <c r="G7" s="14" t="n">
        <f aca="false">IF(B7=0,0,C7/B7)</f>
        <v>0</v>
      </c>
    </row>
    <row r="8" customFormat="false" ht="15" hidden="false" customHeight="false" outlineLevel="0" collapsed="false">
      <c r="A8" s="12" t="s">
        <v>186</v>
      </c>
      <c r="B8" s="13" t="n">
        <f aca="false">COUNTIFS('UAT Checklist'!$B$5:$B$107,$A8)</f>
        <v>7</v>
      </c>
      <c r="C8" s="13" t="n">
        <f aca="false">COUNTIFS('UAT Checklist'!$B$5:$B$107,$A8,'UAT Checklist'!$G$5:$G$107,"Pass")</f>
        <v>0</v>
      </c>
      <c r="D8" s="13" t="n">
        <f aca="false">COUNTIFS('UAT Checklist'!$B$5:$B$107,$A8,'UAT Checklist'!$G$5:$G$107,"Fail")</f>
        <v>0</v>
      </c>
      <c r="E8" s="13" t="n">
        <f aca="false">COUNTIFS('UAT Checklist'!$B$5:$B$107,$A8,'UAT Checklist'!$G$5:$G$107,"Blocked")</f>
        <v>0</v>
      </c>
      <c r="F8" s="13" t="n">
        <f aca="false">B8-C8-D8-E8</f>
        <v>7</v>
      </c>
      <c r="G8" s="14" t="n">
        <f aca="false">IF(B8=0,0,C8/B8)</f>
        <v>0</v>
      </c>
    </row>
    <row r="9" customFormat="false" ht="15" hidden="false" customHeight="false" outlineLevel="0" collapsed="false">
      <c r="A9" s="12" t="s">
        <v>215</v>
      </c>
      <c r="B9" s="13" t="n">
        <f aca="false">COUNTIFS('UAT Checklist'!$B$5:$B$107,$A9)</f>
        <v>13</v>
      </c>
      <c r="C9" s="13" t="n">
        <f aca="false">COUNTIFS('UAT Checklist'!$B$5:$B$107,$A9,'UAT Checklist'!$G$5:$G$107,"Pass")</f>
        <v>0</v>
      </c>
      <c r="D9" s="13" t="n">
        <f aca="false">COUNTIFS('UAT Checklist'!$B$5:$B$107,$A9,'UAT Checklist'!$G$5:$G$107,"Fail")</f>
        <v>0</v>
      </c>
      <c r="E9" s="13" t="n">
        <f aca="false">COUNTIFS('UAT Checklist'!$B$5:$B$107,$A9,'UAT Checklist'!$G$5:$G$107,"Blocked")</f>
        <v>0</v>
      </c>
      <c r="F9" s="13" t="n">
        <f aca="false">B9-C9-D9-E9</f>
        <v>13</v>
      </c>
      <c r="G9" s="14" t="n">
        <f aca="false">IF(B9=0,0,C9/B9)</f>
        <v>0</v>
      </c>
    </row>
    <row r="10" customFormat="false" ht="15" hidden="false" customHeight="false" outlineLevel="0" collapsed="false">
      <c r="A10" s="12" t="s">
        <v>268</v>
      </c>
      <c r="B10" s="13" t="n">
        <f aca="false">COUNTIFS('UAT Checklist'!$B$5:$B$107,$A10)</f>
        <v>12</v>
      </c>
      <c r="C10" s="13" t="n">
        <f aca="false">COUNTIFS('UAT Checklist'!$B$5:$B$107,$A10,'UAT Checklist'!$G$5:$G$107,"Pass")</f>
        <v>0</v>
      </c>
      <c r="D10" s="13" t="n">
        <f aca="false">COUNTIFS('UAT Checklist'!$B$5:$B$107,$A10,'UAT Checklist'!$G$5:$G$107,"Fail")</f>
        <v>0</v>
      </c>
      <c r="E10" s="13" t="n">
        <f aca="false">COUNTIFS('UAT Checklist'!$B$5:$B$107,$A10,'UAT Checklist'!$G$5:$G$107,"Blocked")</f>
        <v>0</v>
      </c>
      <c r="F10" s="13" t="n">
        <f aca="false">B10-C10-D10-E10</f>
        <v>12</v>
      </c>
      <c r="G10" s="14" t="n">
        <f aca="false">IF(B10=0,0,C10/B10)</f>
        <v>0</v>
      </c>
    </row>
    <row r="11" customFormat="false" ht="15" hidden="false" customHeight="false" outlineLevel="0" collapsed="false">
      <c r="A11" s="12" t="s">
        <v>317</v>
      </c>
      <c r="B11" s="13" t="n">
        <f aca="false">COUNTIFS('UAT Checklist'!$B$5:$B$107,$A11)</f>
        <v>11</v>
      </c>
      <c r="C11" s="13" t="n">
        <f aca="false">COUNTIFS('UAT Checklist'!$B$5:$B$107,$A11,'UAT Checklist'!$G$5:$G$107,"Pass")</f>
        <v>0</v>
      </c>
      <c r="D11" s="13" t="n">
        <f aca="false">COUNTIFS('UAT Checklist'!$B$5:$B$107,$A11,'UAT Checklist'!$G$5:$G$107,"Fail")</f>
        <v>0</v>
      </c>
      <c r="E11" s="13" t="n">
        <f aca="false">COUNTIFS('UAT Checklist'!$B$5:$B$107,$A11,'UAT Checklist'!$G$5:$G$107,"Blocked")</f>
        <v>0</v>
      </c>
      <c r="F11" s="13" t="n">
        <f aca="false">B11-C11-D11-E11</f>
        <v>11</v>
      </c>
      <c r="G11" s="14" t="n">
        <f aca="false">IF(B11=0,0,C11/B11)</f>
        <v>0</v>
      </c>
    </row>
    <row r="12" customFormat="false" ht="15" hidden="false" customHeight="false" outlineLevel="0" collapsed="false">
      <c r="A12" s="12" t="s">
        <v>362</v>
      </c>
      <c r="B12" s="13" t="n">
        <f aca="false">COUNTIFS('UAT Checklist'!$B$5:$B$107,$A12)</f>
        <v>12</v>
      </c>
      <c r="C12" s="13" t="n">
        <f aca="false">COUNTIFS('UAT Checklist'!$B$5:$B$107,$A12,'UAT Checklist'!$G$5:$G$107,"Pass")</f>
        <v>0</v>
      </c>
      <c r="D12" s="13" t="n">
        <f aca="false">COUNTIFS('UAT Checklist'!$B$5:$B$107,$A12,'UAT Checklist'!$G$5:$G$107,"Fail")</f>
        <v>0</v>
      </c>
      <c r="E12" s="13" t="n">
        <f aca="false">COUNTIFS('UAT Checklist'!$B$5:$B$107,$A12,'UAT Checklist'!$G$5:$G$107,"Blocked")</f>
        <v>0</v>
      </c>
      <c r="F12" s="13" t="n">
        <f aca="false">B12-C12-D12-E12</f>
        <v>12</v>
      </c>
      <c r="G12" s="14" t="n">
        <f aca="false">IF(B12=0,0,C12/B12)</f>
        <v>0</v>
      </c>
    </row>
    <row r="13" customFormat="false" ht="15" hidden="false" customHeight="false" outlineLevel="0" collapsed="false">
      <c r="A13" s="12" t="s">
        <v>411</v>
      </c>
      <c r="B13" s="13" t="n">
        <f aca="false">COUNTIFS('UAT Checklist'!$B$5:$B$107,$A13)</f>
        <v>8</v>
      </c>
      <c r="C13" s="13" t="n">
        <f aca="false">COUNTIFS('UAT Checklist'!$B$5:$B$107,$A13,'UAT Checklist'!$G$5:$G$107,"Pass")</f>
        <v>0</v>
      </c>
      <c r="D13" s="13" t="n">
        <f aca="false">COUNTIFS('UAT Checklist'!$B$5:$B$107,$A13,'UAT Checklist'!$G$5:$G$107,"Fail")</f>
        <v>0</v>
      </c>
      <c r="E13" s="13" t="n">
        <f aca="false">COUNTIFS('UAT Checklist'!$B$5:$B$107,$A13,'UAT Checklist'!$G$5:$G$107,"Blocked")</f>
        <v>0</v>
      </c>
      <c r="F13" s="13" t="n">
        <f aca="false">B13-C13-D13-E13</f>
        <v>8</v>
      </c>
      <c r="G13" s="14" t="n">
        <f aca="false">IF(B13=0,0,C13/B13)</f>
        <v>0</v>
      </c>
    </row>
    <row r="14" customFormat="false" ht="15" hidden="false" customHeight="false" outlineLevel="0" collapsed="false">
      <c r="A14" s="12" t="s">
        <v>443</v>
      </c>
      <c r="B14" s="13" t="n">
        <f aca="false">COUNTIFS('UAT Checklist'!$B$5:$B$107,$A14)</f>
        <v>7</v>
      </c>
      <c r="C14" s="13" t="n">
        <f aca="false">COUNTIFS('UAT Checklist'!$B$5:$B$107,$A14,'UAT Checklist'!$G$5:$G$107,"Pass")</f>
        <v>0</v>
      </c>
      <c r="D14" s="13" t="n">
        <f aca="false">COUNTIFS('UAT Checklist'!$B$5:$B$107,$A14,'UAT Checklist'!$G$5:$G$107,"Fail")</f>
        <v>0</v>
      </c>
      <c r="E14" s="13" t="n">
        <f aca="false">COUNTIFS('UAT Checklist'!$B$5:$B$107,$A14,'UAT Checklist'!$G$5:$G$107,"Blocked")</f>
        <v>0</v>
      </c>
      <c r="F14" s="13" t="n">
        <f aca="false">B14-C14-D14-E14</f>
        <v>7</v>
      </c>
      <c r="G14" s="14" t="n">
        <f aca="false">IF(B14=0,0,C14/B14)</f>
        <v>0</v>
      </c>
    </row>
    <row r="15" customFormat="false" ht="15" hidden="false" customHeight="false" outlineLevel="0" collapsed="false">
      <c r="A15" s="15" t="s">
        <v>477</v>
      </c>
      <c r="B15" s="16" t="n">
        <f aca="false">SUM(B4:B14)</f>
        <v>103</v>
      </c>
      <c r="C15" s="16" t="n">
        <f aca="false">SUM(C4:C14)</f>
        <v>0</v>
      </c>
      <c r="D15" s="16" t="n">
        <f aca="false">SUM(D4:D14)</f>
        <v>0</v>
      </c>
      <c r="E15" s="16" t="n">
        <f aca="false">SUM(E4:E14)</f>
        <v>0</v>
      </c>
      <c r="F15" s="16" t="n">
        <f aca="false">SUM(F4:F14)</f>
        <v>103</v>
      </c>
      <c r="G15" s="17" t="n">
        <f aca="false">IF(B15=0,0,C15/B15)</f>
        <v>0</v>
      </c>
    </row>
    <row r="17" customFormat="false" ht="15" hidden="false" customHeight="false" outlineLevel="0" collapsed="false">
      <c r="A17" s="2" t="s">
        <v>478</v>
      </c>
      <c r="B17" s="18" t="n">
        <f aca="false">COUNTIFS('UAT Checklist'!$F$5:$F$107,"High",'UAT Checklist'!$G$5:$G$107,"&lt;&gt;Pass")</f>
        <v>54</v>
      </c>
    </row>
    <row r="18" customFormat="false" ht="15" hidden="false" customHeight="false" outlineLevel="0" collapsed="false">
      <c r="A18" s="2" t="s">
        <v>479</v>
      </c>
      <c r="B18" s="19" t="str">
        <f aca="false">IF(B17=0,"READY: all High priority tests passed","NOT READY: "&amp;B17&amp;" High priority test(s) not passed")</f>
        <v>NOT READY: 54 High priority test(s) not passed</v>
      </c>
      <c r="C18" s="19"/>
      <c r="D18" s="19"/>
      <c r="E18" s="19"/>
      <c r="F18" s="19"/>
      <c r="G18" s="19"/>
    </row>
  </sheetData>
  <mergeCells count="2">
    <mergeCell ref="A1:G1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480</v>
      </c>
      <c r="B1" s="1"/>
      <c r="C1" s="1"/>
    </row>
    <row r="3" customFormat="false" ht="15" hidden="false" customHeight="false" outlineLevel="0" collapsed="false">
      <c r="A3" s="6" t="s">
        <v>481</v>
      </c>
      <c r="B3" s="6" t="s">
        <v>482</v>
      </c>
      <c r="C3" s="6" t="s">
        <v>483</v>
      </c>
    </row>
    <row r="4" customFormat="false" ht="15" hidden="false" customHeight="false" outlineLevel="0" collapsed="false">
      <c r="A4" s="8" t="s">
        <v>484</v>
      </c>
      <c r="B4" s="8" t="s">
        <v>485</v>
      </c>
      <c r="C4" s="8" t="s">
        <v>486</v>
      </c>
    </row>
    <row r="5" customFormat="false" ht="23.85" hidden="false" customHeight="false" outlineLevel="0" collapsed="false">
      <c r="A5" s="8" t="s">
        <v>487</v>
      </c>
      <c r="B5" s="8" t="s">
        <v>488</v>
      </c>
      <c r="C5" s="8" t="s">
        <v>489</v>
      </c>
    </row>
    <row r="6" customFormat="false" ht="23.85" hidden="false" customHeight="false" outlineLevel="0" collapsed="false">
      <c r="A6" s="8" t="s">
        <v>490</v>
      </c>
      <c r="B6" s="8" t="s">
        <v>491</v>
      </c>
      <c r="C6" s="8" t="s">
        <v>492</v>
      </c>
    </row>
    <row r="7" customFormat="false" ht="15" hidden="false" customHeight="false" outlineLevel="0" collapsed="false">
      <c r="A7" s="8" t="s">
        <v>493</v>
      </c>
      <c r="B7" s="8" t="s">
        <v>494</v>
      </c>
      <c r="C7" s="8" t="s">
        <v>495</v>
      </c>
    </row>
    <row r="8" customFormat="false" ht="15" hidden="false" customHeight="false" outlineLevel="0" collapsed="false">
      <c r="A8" s="8" t="s">
        <v>496</v>
      </c>
      <c r="B8" s="8" t="s">
        <v>497</v>
      </c>
      <c r="C8" s="8" t="s">
        <v>498</v>
      </c>
    </row>
    <row r="9" customFormat="false" ht="15" hidden="false" customHeight="false" outlineLevel="0" collapsed="false">
      <c r="A9" s="8" t="s">
        <v>499</v>
      </c>
      <c r="B9" s="8" t="s">
        <v>500</v>
      </c>
      <c r="C9" s="8" t="s">
        <v>498</v>
      </c>
    </row>
    <row r="10" customFormat="false" ht="15" hidden="false" customHeight="false" outlineLevel="0" collapsed="false">
      <c r="A10" s="8" t="s">
        <v>501</v>
      </c>
      <c r="B10" s="8" t="s">
        <v>502</v>
      </c>
      <c r="C10" s="8" t="s">
        <v>498</v>
      </c>
    </row>
    <row r="11" customFormat="false" ht="15" hidden="false" customHeight="false" outlineLevel="0" collapsed="false">
      <c r="A11" s="8" t="s">
        <v>503</v>
      </c>
      <c r="B11" s="8" t="s">
        <v>504</v>
      </c>
      <c r="C11" s="8" t="s">
        <v>498</v>
      </c>
    </row>
    <row r="12" customFormat="false" ht="15" hidden="false" customHeight="false" outlineLevel="0" collapsed="false">
      <c r="A12" s="8" t="s">
        <v>505</v>
      </c>
      <c r="B12" s="8" t="s">
        <v>506</v>
      </c>
      <c r="C12" s="8" t="s">
        <v>507</v>
      </c>
    </row>
    <row r="13" customFormat="false" ht="15" hidden="false" customHeight="false" outlineLevel="0" collapsed="false">
      <c r="A13" s="8" t="s">
        <v>508</v>
      </c>
      <c r="B13" s="8" t="s">
        <v>509</v>
      </c>
      <c r="C13" s="8" t="s">
        <v>507</v>
      </c>
    </row>
    <row r="14" customFormat="false" ht="15" hidden="false" customHeight="false" outlineLevel="0" collapsed="false">
      <c r="A14" s="8" t="s">
        <v>510</v>
      </c>
      <c r="B14" s="8" t="s">
        <v>511</v>
      </c>
      <c r="C14" s="8" t="s">
        <v>507</v>
      </c>
    </row>
    <row r="15" customFormat="false" ht="15" hidden="false" customHeight="false" outlineLevel="0" collapsed="false">
      <c r="A15" s="8" t="s">
        <v>512</v>
      </c>
      <c r="B15" s="8" t="s">
        <v>513</v>
      </c>
      <c r="C15" s="8" t="s">
        <v>514</v>
      </c>
    </row>
    <row r="16" customFormat="false" ht="23.85" hidden="false" customHeight="false" outlineLevel="0" collapsed="false">
      <c r="A16" s="8" t="s">
        <v>515</v>
      </c>
      <c r="B16" s="8" t="s">
        <v>516</v>
      </c>
      <c r="C16" s="8" t="s">
        <v>498</v>
      </c>
    </row>
    <row r="17" customFormat="false" ht="15" hidden="false" customHeight="false" outlineLevel="0" collapsed="false">
      <c r="A17" s="8" t="s">
        <v>517</v>
      </c>
      <c r="B17" s="8" t="s">
        <v>518</v>
      </c>
      <c r="C17" s="8" t="s">
        <v>498</v>
      </c>
    </row>
    <row r="18" customFormat="false" ht="15" hidden="false" customHeight="false" outlineLevel="0" collapsed="false">
      <c r="A18" s="8" t="s">
        <v>519</v>
      </c>
      <c r="B18" s="8" t="s">
        <v>520</v>
      </c>
      <c r="C18" s="8" t="s">
        <v>521</v>
      </c>
    </row>
    <row r="19" customFormat="false" ht="15" hidden="false" customHeight="false" outlineLevel="0" collapsed="false">
      <c r="A19" s="8" t="s">
        <v>522</v>
      </c>
      <c r="B19" s="8" t="s">
        <v>523</v>
      </c>
      <c r="C19" s="8" t="s">
        <v>524</v>
      </c>
    </row>
    <row r="21" customFormat="false" ht="15" hidden="false" customHeight="false" outlineLevel="0" collapsed="false">
      <c r="A21" s="20" t="s">
        <v>525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2026-10-14T06:29:59Z</dcterms:created>
  <dc:creator>openpyxl</dc:creator>
  <dc:description/>
  <dc:language>en-US</dc:language>
  <cp:lastModifiedBy/>
  <dcterms:modified xsi:type="dcterms:W3CDTF">2026-10-14T06:29:59Z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